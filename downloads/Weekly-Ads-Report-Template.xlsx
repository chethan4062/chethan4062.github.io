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ily Data" sheetId="2" state="visible" r:id="rId4"/>
    <sheet name="Targets" sheetId="3" state="visible" r:id="rId5"/>
    <sheet name="Change Log" sheetId="4" state="visible" r:id="rId6"/>
    <sheet name="Weekly Vi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<sst xmlns="http://schemas.openxmlformats.org/spreadsheetml/2006/main" count="491" uniqueCount="67">
  <si>
    <t xml:space="preserve">Weekly Ads Report — template</t>
  </si>
  <si>
    <t xml:space="preserve">1. Paste daily data into the Daily Data tab (one row per day per campaign). Fill only the yellow columns A–I; the grey columns calculate automatically.</t>
  </si>
  <si>
    <t xml:space="preserve">2. Set your targets in the Targets tab (yellow cells).</t>
  </si>
  <si>
    <t xml:space="preserve">3. Log any changes you make (budgets, bids, new creatives, pauses) in the Change Log tab. The summary uses this to explain movements.</t>
  </si>
  <si>
    <t xml:space="preserve">4. Weekly View shows totals and week-on-week changes by week (weeks start on Monday).</t>
  </si>
  <si>
    <t xml:space="preserve">5. Ask Claude (with the Weekly Ads Summary skill): "Write this week's ads summary from my Weekly Ads Report sheet."</t>
  </si>
  <si>
    <t xml:space="preserve">Legend</t>
  </si>
  <si>
    <t xml:space="preserve">Yellow fill = cells you fill in</t>
  </si>
  <si>
    <t xml:space="preserve">Grey fill = formulas, don't edit</t>
  </si>
  <si>
    <t xml:space="preserve">The rows already in Daily Data, Targets and Change Log are fictional sample data. Delete them (keep the header row and the formulas in columns J–N) before adding your own.</t>
  </si>
  <si>
    <t xml:space="preserve">Date</t>
  </si>
  <si>
    <t xml:space="preserve">Platform</t>
  </si>
  <si>
    <t xml:space="preserve">Campaign</t>
  </si>
  <si>
    <t xml:space="preserve">Campaign type</t>
  </si>
  <si>
    <t xml:space="preserve">Spend (₹)</t>
  </si>
  <si>
    <t xml:space="preserve">Impressions</t>
  </si>
  <si>
    <t xml:space="preserve">Clicks</t>
  </si>
  <si>
    <t xml:space="preserve">Conversions</t>
  </si>
  <si>
    <t xml:space="preserve">Conv. value (₹)</t>
  </si>
  <si>
    <t xml:space="preserve">CTR</t>
  </si>
  <si>
    <t xml:space="preserve">CPC (₹)</t>
  </si>
  <si>
    <t xml:space="preserve">CPA (₹)</t>
  </si>
  <si>
    <t xml:space="preserve">ROAS (x)</t>
  </si>
  <si>
    <t xml:space="preserve">Week start (Mon)</t>
  </si>
  <si>
    <t xml:space="preserve">Meta</t>
  </si>
  <si>
    <t xml:space="preserve">Prospecting – Broad</t>
  </si>
  <si>
    <t xml:space="preserve">Sales</t>
  </si>
  <si>
    <t xml:space="preserve">Retargeting – 30D</t>
  </si>
  <si>
    <t xml:space="preserve">Google</t>
  </si>
  <si>
    <t xml:space="preserve">Brand – Search</t>
  </si>
  <si>
    <t xml:space="preserve">Search</t>
  </si>
  <si>
    <t xml:space="preserve">PMax – All products</t>
  </si>
  <si>
    <t xml:space="preserve">Performance Max</t>
  </si>
  <si>
    <t xml:space="preserve">Generic – Search</t>
  </si>
  <si>
    <t xml:space="preserve">Goal type</t>
  </si>
  <si>
    <t xml:space="preserve">Target CPA (₹)</t>
  </si>
  <si>
    <t xml:space="preserve">Target ROAS (x)</t>
  </si>
  <si>
    <t xml:space="preserve">Weekly budget (₹)</t>
  </si>
  <si>
    <t xml:space="preserve">CPA</t>
  </si>
  <si>
    <t xml:space="preserve">ROAS</t>
  </si>
  <si>
    <t xml:space="preserve">Goal type: CPA or ROAS. Fill the matching target column; leave the other blank.</t>
  </si>
  <si>
    <t xml:space="preserve">Change</t>
  </si>
  <si>
    <t xml:space="preserve">Reason</t>
  </si>
  <si>
    <t xml:space="preserve">Switched bidding to Target ROAS 3.5x</t>
  </si>
  <si>
    <t xml:space="preserve">Move to value-based bidding</t>
  </si>
  <si>
    <t xml:space="preserve">Budget +15%</t>
  </si>
  <si>
    <t xml:space="preserve">Strong ROAS in previous weeks</t>
  </si>
  <si>
    <t xml:space="preserve">No new creatives this week</t>
  </si>
  <si>
    <t xml:space="preserve">Creative team busy with festive shoot</t>
  </si>
  <si>
    <t xml:space="preserve">All</t>
  </si>
  <si>
    <t xml:space="preserve">Website checkout update deployed</t>
  </si>
  <si>
    <t xml:space="preserve">Dev release</t>
  </si>
  <si>
    <t xml:space="preserve">Total spend (₹)</t>
  </si>
  <si>
    <t xml:space="preserve">Total conv.</t>
  </si>
  <si>
    <t xml:space="preserve">Total value (₹)</t>
  </si>
  <si>
    <t xml:space="preserve">Total CPA (₹)</t>
  </si>
  <si>
    <t xml:space="preserve">Total ROAS (x)</t>
  </si>
  <si>
    <t xml:space="preserve">Spend WoW</t>
  </si>
  <si>
    <t xml:space="preserve">CPA WoW</t>
  </si>
  <si>
    <t xml:space="preserve">ROAS WoW</t>
  </si>
  <si>
    <t xml:space="preserve">Meta spend (₹)</t>
  </si>
  <si>
    <t xml:space="preserve">Meta conv.</t>
  </si>
  <si>
    <t xml:space="preserve">Meta CPA (₹)</t>
  </si>
  <si>
    <t xml:space="preserve">Google spend (₹)</t>
  </si>
  <si>
    <t xml:space="preserve">Google value (₹)</t>
  </si>
  <si>
    <t xml:space="preserve">Google ROAS (x)</t>
  </si>
  <si>
    <t xml:space="preserve">Weeks run Monday to Sunday. Rows after your latest week stay at zero until data is added. The latest week may be incomplete.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</si>
</sst>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\₹#,##0;&quot;-₹&quot;#,##0;\-"/>
    <numFmt numFmtId="167" formatCode="#,##0"/>
    <numFmt numFmtId="168" formatCode="0.00%"/>
    <numFmt numFmtId="169" formatCode="0.00\x"/>
    <numFmt numFmtId="170" formatCode="\₹#,##0"/>
    <numFmt numFmtId="171" formatCode="0.0\x"/>
    <numFmt numFmtId="172" formatCode="\+0.0%;\-0.0%;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A1A1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2"/>
    </row>
    <row r="13" customFormat="false" ht="26.85" hidden="false" customHeight="false" outlineLevel="0" collapsed="false">
      <c r="A13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14" min="4" style="0" width="16"/>
  </cols>
  <sheetData>
    <row r="1" customFormat="false" ht="31.5" hidden="false" customHeight="tru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</row>
    <row r="2" customFormat="false" ht="15" hidden="false" customHeight="false" outlineLevel="0" collapsed="false">
      <c r="A2" s="8" t="n">
        <v>46258</v>
      </c>
      <c r="B2" s="9" t="s">
        <v>24</v>
      </c>
      <c r="C2" s="9" t="s">
        <v>25</v>
      </c>
      <c r="D2" s="9" t="s">
        <v>26</v>
      </c>
      <c r="E2" s="10" t="n">
        <v>2527</v>
      </c>
      <c r="F2" s="11" t="n">
        <v>72553</v>
      </c>
      <c r="G2" s="11" t="n">
        <v>815</v>
      </c>
      <c r="H2" s="11" t="n">
        <v>5</v>
      </c>
      <c r="I2" s="10" t="n">
        <v>5771</v>
      </c>
      <c r="J2" s="12" t="n">
        <f aca="false">IFERROR(G2/F2,"")</f>
        <v>0.0112331674775681</v>
      </c>
      <c r="K2" s="13" t="n">
        <f aca="false">IFERROR(E2/G2,"")</f>
        <v>3.10061349693252</v>
      </c>
      <c r="L2" s="13" t="n">
        <f aca="false">IFERROR(E2/H2,"")</f>
        <v>505.4</v>
      </c>
      <c r="M2" s="14" t="n">
        <f aca="false">IFERROR(I2/E2,"")</f>
        <v>2.28373565492679</v>
      </c>
      <c r="N2" s="15" t="n">
        <f aca="false">IF(A2="","",A2-WEEKDAY(A2,3))</f>
        <v>46258</v>
      </c>
    </row>
    <row r="3" customFormat="false" ht="15" hidden="false" customHeight="false" outlineLevel="0" collapsed="false">
      <c r="A3" s="8" t="n">
        <v>46258</v>
      </c>
      <c r="B3" s="9" t="s">
        <v>24</v>
      </c>
      <c r="C3" s="9" t="s">
        <v>27</v>
      </c>
      <c r="D3" s="9" t="s">
        <v>26</v>
      </c>
      <c r="E3" s="10" t="n">
        <v>1370</v>
      </c>
      <c r="F3" s="11" t="n">
        <v>19144</v>
      </c>
      <c r="G3" s="11" t="n">
        <v>345</v>
      </c>
      <c r="H3" s="11" t="n">
        <v>4</v>
      </c>
      <c r="I3" s="10" t="n">
        <v>4967</v>
      </c>
      <c r="J3" s="12" t="n">
        <f aca="false">IFERROR(G3/F3,"")</f>
        <v>0.018021312160468</v>
      </c>
      <c r="K3" s="13" t="n">
        <f aca="false">IFERROR(E3/G3,"")</f>
        <v>3.97101449275362</v>
      </c>
      <c r="L3" s="13" t="n">
        <f aca="false">IFERROR(E3/H3,"")</f>
        <v>342.5</v>
      </c>
      <c r="M3" s="14" t="n">
        <f aca="false">IFERROR(I3/E3,"")</f>
        <v>3.62554744525547</v>
      </c>
      <c r="N3" s="15" t="n">
        <f aca="false">IF(A3="","",A3-WEEKDAY(A3,3))</f>
        <v>46258</v>
      </c>
    </row>
    <row r="4" customFormat="false" ht="15" hidden="false" customHeight="false" outlineLevel="0" collapsed="false">
      <c r="A4" s="8" t="n">
        <v>46258</v>
      </c>
      <c r="B4" s="9" t="s">
        <v>28</v>
      </c>
      <c r="C4" s="9" t="s">
        <v>29</v>
      </c>
      <c r="D4" s="9" t="s">
        <v>30</v>
      </c>
      <c r="E4" s="10" t="n">
        <v>1024</v>
      </c>
      <c r="F4" s="11" t="n">
        <v>4774</v>
      </c>
      <c r="G4" s="11" t="n">
        <v>661</v>
      </c>
      <c r="H4" s="11" t="n">
        <v>5</v>
      </c>
      <c r="I4" s="10" t="n">
        <v>6255</v>
      </c>
      <c r="J4" s="12" t="n">
        <f aca="false">IFERROR(G4/F4,"")</f>
        <v>0.138458315877671</v>
      </c>
      <c r="K4" s="13" t="n">
        <f aca="false">IFERROR(E4/G4,"")</f>
        <v>1.54916792738275</v>
      </c>
      <c r="L4" s="13" t="n">
        <f aca="false">IFERROR(E4/H4,"")</f>
        <v>204.8</v>
      </c>
      <c r="M4" s="14" t="n">
        <f aca="false">IFERROR(I4/E4,"")</f>
        <v>6.1083984375</v>
      </c>
      <c r="N4" s="15" t="n">
        <f aca="false">IF(A4="","",A4-WEEKDAY(A4,3))</f>
        <v>46258</v>
      </c>
    </row>
    <row r="5" customFormat="false" ht="15" hidden="false" customHeight="false" outlineLevel="0" collapsed="false">
      <c r="A5" s="8" t="n">
        <v>46258</v>
      </c>
      <c r="B5" s="9" t="s">
        <v>28</v>
      </c>
      <c r="C5" s="9" t="s">
        <v>31</v>
      </c>
      <c r="D5" s="9" t="s">
        <v>32</v>
      </c>
      <c r="E5" s="10" t="n">
        <v>2580</v>
      </c>
      <c r="F5" s="11" t="n">
        <v>92294</v>
      </c>
      <c r="G5" s="11" t="n">
        <v>883</v>
      </c>
      <c r="H5" s="11" t="n">
        <v>10</v>
      </c>
      <c r="I5" s="10" t="n">
        <v>11678</v>
      </c>
      <c r="J5" s="12" t="n">
        <f aca="false">IFERROR(G5/F5,"")</f>
        <v>0.00956725247578391</v>
      </c>
      <c r="K5" s="13" t="n">
        <f aca="false">IFERROR(E5/G5,"")</f>
        <v>2.92185730464326</v>
      </c>
      <c r="L5" s="13" t="n">
        <f aca="false">IFERROR(E5/H5,"")</f>
        <v>258</v>
      </c>
      <c r="M5" s="14" t="n">
        <f aca="false">IFERROR(I5/E5,"")</f>
        <v>4.52635658914729</v>
      </c>
      <c r="N5" s="15" t="n">
        <f aca="false">IF(A5="","",A5-WEEKDAY(A5,3))</f>
        <v>46258</v>
      </c>
    </row>
    <row r="6" customFormat="false" ht="15" hidden="false" customHeight="false" outlineLevel="0" collapsed="false">
      <c r="A6" s="8" t="n">
        <v>46258</v>
      </c>
      <c r="B6" s="9" t="s">
        <v>28</v>
      </c>
      <c r="C6" s="9" t="s">
        <v>33</v>
      </c>
      <c r="D6" s="9" t="s">
        <v>30</v>
      </c>
      <c r="E6" s="10" t="n">
        <v>1291</v>
      </c>
      <c r="F6" s="11" t="n">
        <v>8184</v>
      </c>
      <c r="G6" s="11" t="n">
        <v>430</v>
      </c>
      <c r="H6" s="11" t="n">
        <v>3</v>
      </c>
      <c r="I6" s="10" t="n">
        <v>3183</v>
      </c>
      <c r="J6" s="12" t="n">
        <f aca="false">IFERROR(G6/F6,"")</f>
        <v>0.0525415444770284</v>
      </c>
      <c r="K6" s="13" t="n">
        <f aca="false">IFERROR(E6/G6,"")</f>
        <v>3.00232558139535</v>
      </c>
      <c r="L6" s="13" t="n">
        <f aca="false">IFERROR(E6/H6,"")</f>
        <v>430.333333333333</v>
      </c>
      <c r="M6" s="14" t="n">
        <f aca="false">IFERROR(I6/E6,"")</f>
        <v>2.46553059643687</v>
      </c>
      <c r="N6" s="15" t="n">
        <f aca="false">IF(A6="","",A6-WEEKDAY(A6,3))</f>
        <v>46258</v>
      </c>
    </row>
    <row r="7" customFormat="false" ht="15" hidden="false" customHeight="false" outlineLevel="0" collapsed="false">
      <c r="A7" s="8" t="n">
        <v>46259</v>
      </c>
      <c r="B7" s="9" t="s">
        <v>24</v>
      </c>
      <c r="C7" s="9" t="s">
        <v>25</v>
      </c>
      <c r="D7" s="9" t="s">
        <v>26</v>
      </c>
      <c r="E7" s="10" t="n">
        <v>2441</v>
      </c>
      <c r="F7" s="11" t="n">
        <v>75012</v>
      </c>
      <c r="G7" s="11" t="n">
        <v>862</v>
      </c>
      <c r="H7" s="11" t="n">
        <v>6</v>
      </c>
      <c r="I7" s="10" t="n">
        <v>6956</v>
      </c>
      <c r="J7" s="12" t="n">
        <f aca="false">IFERROR(G7/F7,"")</f>
        <v>0.0114914946941823</v>
      </c>
      <c r="K7" s="13" t="n">
        <f aca="false">IFERROR(E7/G7,"")</f>
        <v>2.83178654292343</v>
      </c>
      <c r="L7" s="13" t="n">
        <f aca="false">IFERROR(E7/H7,"")</f>
        <v>406.833333333333</v>
      </c>
      <c r="M7" s="14" t="n">
        <f aca="false">IFERROR(I7/E7,"")</f>
        <v>2.84965178205653</v>
      </c>
      <c r="N7" s="15" t="n">
        <f aca="false">IF(A7="","",A7-WEEKDAY(A7,3))</f>
        <v>46258</v>
      </c>
    </row>
    <row r="8" customFormat="false" ht="15" hidden="false" customHeight="false" outlineLevel="0" collapsed="false">
      <c r="A8" s="8" t="n">
        <v>46259</v>
      </c>
      <c r="B8" s="9" t="s">
        <v>24</v>
      </c>
      <c r="C8" s="9" t="s">
        <v>27</v>
      </c>
      <c r="D8" s="9" t="s">
        <v>26</v>
      </c>
      <c r="E8" s="10" t="n">
        <v>1431</v>
      </c>
      <c r="F8" s="11" t="n">
        <v>20464</v>
      </c>
      <c r="G8" s="11" t="n">
        <v>371</v>
      </c>
      <c r="H8" s="11" t="n">
        <v>4</v>
      </c>
      <c r="I8" s="10" t="n">
        <v>4780</v>
      </c>
      <c r="J8" s="12" t="n">
        <f aca="false">IFERROR(G8/F8,"")</f>
        <v>0.0181293979671618</v>
      </c>
      <c r="K8" s="13" t="n">
        <f aca="false">IFERROR(E8/G8,"")</f>
        <v>3.85714285714286</v>
      </c>
      <c r="L8" s="13" t="n">
        <f aca="false">IFERROR(E8/H8,"")</f>
        <v>357.75</v>
      </c>
      <c r="M8" s="14" t="n">
        <f aca="false">IFERROR(I8/E8,"")</f>
        <v>3.340321453529</v>
      </c>
      <c r="N8" s="15" t="n">
        <f aca="false">IF(A8="","",A8-WEEKDAY(A8,3))</f>
        <v>46258</v>
      </c>
    </row>
    <row r="9" customFormat="false" ht="15" hidden="false" customHeight="false" outlineLevel="0" collapsed="false">
      <c r="A9" s="8" t="n">
        <v>46259</v>
      </c>
      <c r="B9" s="9" t="s">
        <v>28</v>
      </c>
      <c r="C9" s="9" t="s">
        <v>29</v>
      </c>
      <c r="D9" s="9" t="s">
        <v>30</v>
      </c>
      <c r="E9" s="10" t="n">
        <v>1048</v>
      </c>
      <c r="F9" s="11" t="n">
        <v>5388</v>
      </c>
      <c r="G9" s="11" t="n">
        <v>747</v>
      </c>
      <c r="H9" s="11" t="n">
        <v>5</v>
      </c>
      <c r="I9" s="10" t="n">
        <v>6556</v>
      </c>
      <c r="J9" s="12" t="n">
        <f aca="false">IFERROR(G9/F9,"")</f>
        <v>0.138641425389755</v>
      </c>
      <c r="K9" s="13" t="n">
        <f aca="false">IFERROR(E9/G9,"")</f>
        <v>1.40294511378849</v>
      </c>
      <c r="L9" s="13" t="n">
        <f aca="false">IFERROR(E9/H9,"")</f>
        <v>209.6</v>
      </c>
      <c r="M9" s="14" t="n">
        <f aca="false">IFERROR(I9/E9,"")</f>
        <v>6.25572519083969</v>
      </c>
      <c r="N9" s="15" t="n">
        <f aca="false">IF(A9="","",A9-WEEKDAY(A9,3))</f>
        <v>46258</v>
      </c>
    </row>
    <row r="10" customFormat="false" ht="15" hidden="false" customHeight="false" outlineLevel="0" collapsed="false">
      <c r="A10" s="8" t="n">
        <v>46259</v>
      </c>
      <c r="B10" s="9" t="s">
        <v>28</v>
      </c>
      <c r="C10" s="9" t="s">
        <v>31</v>
      </c>
      <c r="D10" s="9" t="s">
        <v>32</v>
      </c>
      <c r="E10" s="10" t="n">
        <v>2680</v>
      </c>
      <c r="F10" s="11" t="n">
        <v>86396</v>
      </c>
      <c r="G10" s="11" t="n">
        <v>810</v>
      </c>
      <c r="H10" s="11" t="n">
        <v>9</v>
      </c>
      <c r="I10" s="10" t="n">
        <v>10348</v>
      </c>
      <c r="J10" s="12" t="n">
        <f aca="false">IFERROR(G10/F10,"")</f>
        <v>0.00937543404787259</v>
      </c>
      <c r="K10" s="13" t="n">
        <f aca="false">IFERROR(E10/G10,"")</f>
        <v>3.30864197530864</v>
      </c>
      <c r="L10" s="13" t="n">
        <f aca="false">IFERROR(E10/H10,"")</f>
        <v>297.777777777778</v>
      </c>
      <c r="M10" s="14" t="n">
        <f aca="false">IFERROR(I10/E10,"")</f>
        <v>3.86119402985075</v>
      </c>
      <c r="N10" s="15" t="n">
        <f aca="false">IF(A10="","",A10-WEEKDAY(A10,3))</f>
        <v>46258</v>
      </c>
    </row>
    <row r="11" customFormat="false" ht="15" hidden="false" customHeight="false" outlineLevel="0" collapsed="false">
      <c r="A11" s="8" t="n">
        <v>46259</v>
      </c>
      <c r="B11" s="9" t="s">
        <v>28</v>
      </c>
      <c r="C11" s="9" t="s">
        <v>33</v>
      </c>
      <c r="D11" s="9" t="s">
        <v>30</v>
      </c>
      <c r="E11" s="10" t="n">
        <v>1214</v>
      </c>
      <c r="F11" s="11" t="n">
        <v>9045</v>
      </c>
      <c r="G11" s="11" t="n">
        <v>476</v>
      </c>
      <c r="H11" s="11" t="n">
        <v>4</v>
      </c>
      <c r="I11" s="10" t="n">
        <v>4307</v>
      </c>
      <c r="J11" s="12" t="n">
        <f aca="false">IFERROR(G11/F11,"")</f>
        <v>0.0526257600884467</v>
      </c>
      <c r="K11" s="13" t="n">
        <f aca="false">IFERROR(E11/G11,"")</f>
        <v>2.55042016806723</v>
      </c>
      <c r="L11" s="13" t="n">
        <f aca="false">IFERROR(E11/H11,"")</f>
        <v>303.5</v>
      </c>
      <c r="M11" s="14" t="n">
        <f aca="false">IFERROR(I11/E11,"")</f>
        <v>3.54777594728171</v>
      </c>
      <c r="N11" s="15" t="n">
        <f aca="false">IF(A11="","",A11-WEEKDAY(A11,3))</f>
        <v>46258</v>
      </c>
    </row>
    <row r="12" customFormat="false" ht="15" hidden="false" customHeight="false" outlineLevel="0" collapsed="false">
      <c r="A12" s="8" t="n">
        <v>46260</v>
      </c>
      <c r="B12" s="9" t="s">
        <v>24</v>
      </c>
      <c r="C12" s="9" t="s">
        <v>25</v>
      </c>
      <c r="D12" s="9" t="s">
        <v>26</v>
      </c>
      <c r="E12" s="10" t="n">
        <v>2800</v>
      </c>
      <c r="F12" s="11" t="n">
        <v>72042</v>
      </c>
      <c r="G12" s="11" t="n">
        <v>783</v>
      </c>
      <c r="H12" s="11" t="n">
        <v>6</v>
      </c>
      <c r="I12" s="10" t="n">
        <v>6660</v>
      </c>
      <c r="J12" s="12" t="n">
        <f aca="false">IFERROR(G12/F12,"")</f>
        <v>0.0108686599483635</v>
      </c>
      <c r="K12" s="13" t="n">
        <f aca="false">IFERROR(E12/G12,"")</f>
        <v>3.57598978288633</v>
      </c>
      <c r="L12" s="13" t="n">
        <f aca="false">IFERROR(E12/H12,"")</f>
        <v>466.666666666667</v>
      </c>
      <c r="M12" s="14" t="n">
        <f aca="false">IFERROR(I12/E12,"")</f>
        <v>2.37857142857143</v>
      </c>
      <c r="N12" s="15" t="n">
        <f aca="false">IF(A12="","",A12-WEEKDAY(A12,3))</f>
        <v>46258</v>
      </c>
    </row>
    <row r="13" customFormat="false" ht="15" hidden="false" customHeight="false" outlineLevel="0" collapsed="false">
      <c r="A13" s="8" t="n">
        <v>46260</v>
      </c>
      <c r="B13" s="9" t="s">
        <v>24</v>
      </c>
      <c r="C13" s="9" t="s">
        <v>27</v>
      </c>
      <c r="D13" s="9" t="s">
        <v>26</v>
      </c>
      <c r="E13" s="10" t="n">
        <v>1398</v>
      </c>
      <c r="F13" s="11" t="n">
        <v>19065</v>
      </c>
      <c r="G13" s="11" t="n">
        <v>351</v>
      </c>
      <c r="H13" s="11" t="n">
        <v>5</v>
      </c>
      <c r="I13" s="10" t="n">
        <v>6296</v>
      </c>
      <c r="J13" s="12" t="n">
        <f aca="false">IFERROR(G13/F13,"")</f>
        <v>0.0184107002360346</v>
      </c>
      <c r="K13" s="13" t="n">
        <f aca="false">IFERROR(E13/G13,"")</f>
        <v>3.98290598290598</v>
      </c>
      <c r="L13" s="13" t="n">
        <f aca="false">IFERROR(E13/H13,"")</f>
        <v>279.6</v>
      </c>
      <c r="M13" s="14" t="n">
        <f aca="false">IFERROR(I13/E13,"")</f>
        <v>4.5035765379113</v>
      </c>
      <c r="N13" s="15" t="n">
        <f aca="false">IF(A13="","",A13-WEEKDAY(A13,3))</f>
        <v>46258</v>
      </c>
    </row>
    <row r="14" customFormat="false" ht="15" hidden="false" customHeight="false" outlineLevel="0" collapsed="false">
      <c r="A14" s="8" t="n">
        <v>46260</v>
      </c>
      <c r="B14" s="9" t="s">
        <v>28</v>
      </c>
      <c r="C14" s="9" t="s">
        <v>29</v>
      </c>
      <c r="D14" s="9" t="s">
        <v>30</v>
      </c>
      <c r="E14" s="10" t="n">
        <v>1166</v>
      </c>
      <c r="F14" s="11" t="n">
        <v>5006</v>
      </c>
      <c r="G14" s="11" t="n">
        <v>720</v>
      </c>
      <c r="H14" s="11" t="n">
        <v>6</v>
      </c>
      <c r="I14" s="10" t="n">
        <v>7862</v>
      </c>
      <c r="J14" s="12" t="n">
        <f aca="false">IFERROR(G14/F14,"")</f>
        <v>0.143827407111466</v>
      </c>
      <c r="K14" s="13" t="n">
        <f aca="false">IFERROR(E14/G14,"")</f>
        <v>1.61944444444444</v>
      </c>
      <c r="L14" s="13" t="n">
        <f aca="false">IFERROR(E14/H14,"")</f>
        <v>194.333333333333</v>
      </c>
      <c r="M14" s="14" t="n">
        <f aca="false">IFERROR(I14/E14,"")</f>
        <v>6.74271012006861</v>
      </c>
      <c r="N14" s="15" t="n">
        <f aca="false">IF(A14="","",A14-WEEKDAY(A14,3))</f>
        <v>46258</v>
      </c>
    </row>
    <row r="15" customFormat="false" ht="15" hidden="false" customHeight="false" outlineLevel="0" collapsed="false">
      <c r="A15" s="8" t="n">
        <v>46260</v>
      </c>
      <c r="B15" s="9" t="s">
        <v>28</v>
      </c>
      <c r="C15" s="9" t="s">
        <v>31</v>
      </c>
      <c r="D15" s="9" t="s">
        <v>32</v>
      </c>
      <c r="E15" s="10" t="n">
        <v>2681</v>
      </c>
      <c r="F15" s="11" t="n">
        <v>96119</v>
      </c>
      <c r="G15" s="11" t="n">
        <v>919</v>
      </c>
      <c r="H15" s="11" t="n">
        <v>10</v>
      </c>
      <c r="I15" s="10" t="n">
        <v>11994</v>
      </c>
      <c r="J15" s="12" t="n">
        <f aca="false">IFERROR(G15/F15,"")</f>
        <v>0.00956106492993061</v>
      </c>
      <c r="K15" s="13" t="n">
        <f aca="false">IFERROR(E15/G15,"")</f>
        <v>2.91730141458107</v>
      </c>
      <c r="L15" s="13" t="n">
        <f aca="false">IFERROR(E15/H15,"")</f>
        <v>268.1</v>
      </c>
      <c r="M15" s="14" t="n">
        <f aca="false">IFERROR(I15/E15,"")</f>
        <v>4.47370384185006</v>
      </c>
      <c r="N15" s="15" t="n">
        <f aca="false">IF(A15="","",A15-WEEKDAY(A15,3))</f>
        <v>46258</v>
      </c>
    </row>
    <row r="16" customFormat="false" ht="15" hidden="false" customHeight="false" outlineLevel="0" collapsed="false">
      <c r="A16" s="8" t="n">
        <v>46260</v>
      </c>
      <c r="B16" s="9" t="s">
        <v>28</v>
      </c>
      <c r="C16" s="9" t="s">
        <v>33</v>
      </c>
      <c r="D16" s="9" t="s">
        <v>30</v>
      </c>
      <c r="E16" s="10" t="n">
        <v>1116</v>
      </c>
      <c r="F16" s="11" t="n">
        <v>9363</v>
      </c>
      <c r="G16" s="11" t="n">
        <v>478</v>
      </c>
      <c r="H16" s="11" t="n">
        <v>5</v>
      </c>
      <c r="I16" s="10" t="n">
        <v>5677</v>
      </c>
      <c r="J16" s="12" t="n">
        <f aca="false">IFERROR(G16/F16,"")</f>
        <v>0.0510520132436185</v>
      </c>
      <c r="K16" s="13" t="n">
        <f aca="false">IFERROR(E16/G16,"")</f>
        <v>2.3347280334728</v>
      </c>
      <c r="L16" s="13" t="n">
        <f aca="false">IFERROR(E16/H16,"")</f>
        <v>223.2</v>
      </c>
      <c r="M16" s="14" t="n">
        <f aca="false">IFERROR(I16/E16,"")</f>
        <v>5.08691756272402</v>
      </c>
      <c r="N16" s="15" t="n">
        <f aca="false">IF(A16="","",A16-WEEKDAY(A16,3))</f>
        <v>46258</v>
      </c>
    </row>
    <row r="17" customFormat="false" ht="15" hidden="false" customHeight="false" outlineLevel="0" collapsed="false">
      <c r="A17" s="8" t="n">
        <v>46261</v>
      </c>
      <c r="B17" s="9" t="s">
        <v>24</v>
      </c>
      <c r="C17" s="9" t="s">
        <v>25</v>
      </c>
      <c r="D17" s="9" t="s">
        <v>26</v>
      </c>
      <c r="E17" s="10" t="n">
        <v>2510</v>
      </c>
      <c r="F17" s="11" t="n">
        <v>76218</v>
      </c>
      <c r="G17" s="11" t="n">
        <v>858</v>
      </c>
      <c r="H17" s="11" t="n">
        <v>6</v>
      </c>
      <c r="I17" s="10" t="n">
        <v>6874</v>
      </c>
      <c r="J17" s="12" t="n">
        <f aca="false">IFERROR(G17/F17,"")</f>
        <v>0.0112571833425175</v>
      </c>
      <c r="K17" s="13" t="n">
        <f aca="false">IFERROR(E17/G17,"")</f>
        <v>2.92540792540793</v>
      </c>
      <c r="L17" s="13" t="n">
        <f aca="false">IFERROR(E17/H17,"")</f>
        <v>418.333333333333</v>
      </c>
      <c r="M17" s="14" t="n">
        <f aca="false">IFERROR(I17/E17,"")</f>
        <v>2.73864541832669</v>
      </c>
      <c r="N17" s="15" t="n">
        <f aca="false">IF(A17="","",A17-WEEKDAY(A17,3))</f>
        <v>46258</v>
      </c>
    </row>
    <row r="18" customFormat="false" ht="15" hidden="false" customHeight="false" outlineLevel="0" collapsed="false">
      <c r="A18" s="8" t="n">
        <v>46261</v>
      </c>
      <c r="B18" s="9" t="s">
        <v>24</v>
      </c>
      <c r="C18" s="9" t="s">
        <v>27</v>
      </c>
      <c r="D18" s="9" t="s">
        <v>26</v>
      </c>
      <c r="E18" s="10" t="n">
        <v>1326</v>
      </c>
      <c r="F18" s="11" t="n">
        <v>19392</v>
      </c>
      <c r="G18" s="11" t="n">
        <v>327</v>
      </c>
      <c r="H18" s="11" t="n">
        <v>5</v>
      </c>
      <c r="I18" s="10" t="n">
        <v>6018</v>
      </c>
      <c r="J18" s="12" t="n">
        <f aca="false">IFERROR(G18/F18,"")</f>
        <v>0.0168626237623762</v>
      </c>
      <c r="K18" s="13" t="n">
        <f aca="false">IFERROR(E18/G18,"")</f>
        <v>4.05504587155963</v>
      </c>
      <c r="L18" s="13" t="n">
        <f aca="false">IFERROR(E18/H18,"")</f>
        <v>265.2</v>
      </c>
      <c r="M18" s="14" t="n">
        <f aca="false">IFERROR(I18/E18,"")</f>
        <v>4.53846153846154</v>
      </c>
      <c r="N18" s="15" t="n">
        <f aca="false">IF(A18="","",A18-WEEKDAY(A18,3))</f>
        <v>46258</v>
      </c>
    </row>
    <row r="19" customFormat="false" ht="15" hidden="false" customHeight="false" outlineLevel="0" collapsed="false">
      <c r="A19" s="8" t="n">
        <v>46261</v>
      </c>
      <c r="B19" s="9" t="s">
        <v>28</v>
      </c>
      <c r="C19" s="9" t="s">
        <v>29</v>
      </c>
      <c r="D19" s="9" t="s">
        <v>30</v>
      </c>
      <c r="E19" s="10" t="n">
        <v>1056</v>
      </c>
      <c r="F19" s="11" t="n">
        <v>5087</v>
      </c>
      <c r="G19" s="11" t="n">
        <v>749</v>
      </c>
      <c r="H19" s="11" t="n">
        <v>5</v>
      </c>
      <c r="I19" s="10" t="n">
        <v>6467</v>
      </c>
      <c r="J19" s="12" t="n">
        <f aca="false">IFERROR(G19/F19,"")</f>
        <v>0.147238057794378</v>
      </c>
      <c r="K19" s="13" t="n">
        <f aca="false">IFERROR(E19/G19,"")</f>
        <v>1.40987983978638</v>
      </c>
      <c r="L19" s="13" t="n">
        <f aca="false">IFERROR(E19/H19,"")</f>
        <v>211.2</v>
      </c>
      <c r="M19" s="14" t="n">
        <f aca="false">IFERROR(I19/E19,"")</f>
        <v>6.12405303030303</v>
      </c>
      <c r="N19" s="15" t="n">
        <f aca="false">IF(A19="","",A19-WEEKDAY(A19,3))</f>
        <v>46258</v>
      </c>
    </row>
    <row r="20" customFormat="false" ht="15" hidden="false" customHeight="false" outlineLevel="0" collapsed="false">
      <c r="A20" s="8" t="n">
        <v>46261</v>
      </c>
      <c r="B20" s="9" t="s">
        <v>28</v>
      </c>
      <c r="C20" s="9" t="s">
        <v>31</v>
      </c>
      <c r="D20" s="9" t="s">
        <v>32</v>
      </c>
      <c r="E20" s="10" t="n">
        <v>2721</v>
      </c>
      <c r="F20" s="11" t="n">
        <v>96901</v>
      </c>
      <c r="G20" s="11" t="n">
        <v>911</v>
      </c>
      <c r="H20" s="11" t="n">
        <v>11</v>
      </c>
      <c r="I20" s="10" t="n">
        <v>12692</v>
      </c>
      <c r="J20" s="12" t="n">
        <f aca="false">IFERROR(G20/F20,"")</f>
        <v>0.0094013477673089</v>
      </c>
      <c r="K20" s="13" t="n">
        <f aca="false">IFERROR(E20/G20,"")</f>
        <v>2.98682766190999</v>
      </c>
      <c r="L20" s="13" t="n">
        <f aca="false">IFERROR(E20/H20,"")</f>
        <v>247.363636363636</v>
      </c>
      <c r="M20" s="14" t="n">
        <f aca="false">IFERROR(I20/E20,"")</f>
        <v>4.66446159500184</v>
      </c>
      <c r="N20" s="15" t="n">
        <f aca="false">IF(A20="","",A20-WEEKDAY(A20,3))</f>
        <v>46258</v>
      </c>
    </row>
    <row r="21" customFormat="false" ht="15" hidden="false" customHeight="false" outlineLevel="0" collapsed="false">
      <c r="A21" s="8" t="n">
        <v>46261</v>
      </c>
      <c r="B21" s="9" t="s">
        <v>28</v>
      </c>
      <c r="C21" s="9" t="s">
        <v>33</v>
      </c>
      <c r="D21" s="9" t="s">
        <v>30</v>
      </c>
      <c r="E21" s="10" t="n">
        <v>1184</v>
      </c>
      <c r="F21" s="11" t="n">
        <v>8746</v>
      </c>
      <c r="G21" s="11" t="n">
        <v>461</v>
      </c>
      <c r="H21" s="11" t="n">
        <v>4</v>
      </c>
      <c r="I21" s="10" t="n">
        <v>4246</v>
      </c>
      <c r="J21" s="12" t="n">
        <f aca="false">IFERROR(G21/F21,"")</f>
        <v>0.0527098101989481</v>
      </c>
      <c r="K21" s="13" t="n">
        <f aca="false">IFERROR(E21/G21,"")</f>
        <v>2.56832971800434</v>
      </c>
      <c r="L21" s="13" t="n">
        <f aca="false">IFERROR(E21/H21,"")</f>
        <v>296</v>
      </c>
      <c r="M21" s="14" t="n">
        <f aca="false">IFERROR(I21/E21,"")</f>
        <v>3.58614864864865</v>
      </c>
      <c r="N21" s="15" t="n">
        <f aca="false">IF(A21="","",A21-WEEKDAY(A21,3))</f>
        <v>46258</v>
      </c>
    </row>
    <row r="22" customFormat="false" ht="15" hidden="false" customHeight="false" outlineLevel="0" collapsed="false">
      <c r="A22" s="8" t="n">
        <v>46262</v>
      </c>
      <c r="B22" s="9" t="s">
        <v>24</v>
      </c>
      <c r="C22" s="9" t="s">
        <v>25</v>
      </c>
      <c r="D22" s="9" t="s">
        <v>26</v>
      </c>
      <c r="E22" s="10" t="n">
        <v>2465</v>
      </c>
      <c r="F22" s="11" t="n">
        <v>73819</v>
      </c>
      <c r="G22" s="11" t="n">
        <v>782</v>
      </c>
      <c r="H22" s="11" t="n">
        <v>6</v>
      </c>
      <c r="I22" s="10" t="n">
        <v>6961</v>
      </c>
      <c r="J22" s="12" t="n">
        <f aca="false">IFERROR(G22/F22,"")</f>
        <v>0.0105934786437096</v>
      </c>
      <c r="K22" s="13" t="n">
        <f aca="false">IFERROR(E22/G22,"")</f>
        <v>3.15217391304348</v>
      </c>
      <c r="L22" s="13" t="n">
        <f aca="false">IFERROR(E22/H22,"")</f>
        <v>410.833333333333</v>
      </c>
      <c r="M22" s="14" t="n">
        <f aca="false">IFERROR(I22/E22,"")</f>
        <v>2.82393509127789</v>
      </c>
      <c r="N22" s="15" t="n">
        <f aca="false">IF(A22="","",A22-WEEKDAY(A22,3))</f>
        <v>46258</v>
      </c>
    </row>
    <row r="23" customFormat="false" ht="15" hidden="false" customHeight="false" outlineLevel="0" collapsed="false">
      <c r="A23" s="8" t="n">
        <v>46262</v>
      </c>
      <c r="B23" s="9" t="s">
        <v>24</v>
      </c>
      <c r="C23" s="9" t="s">
        <v>27</v>
      </c>
      <c r="D23" s="9" t="s">
        <v>26</v>
      </c>
      <c r="E23" s="10" t="n">
        <v>1347</v>
      </c>
      <c r="F23" s="11" t="n">
        <v>18917</v>
      </c>
      <c r="G23" s="11" t="n">
        <v>337</v>
      </c>
      <c r="H23" s="11" t="n">
        <v>4</v>
      </c>
      <c r="I23" s="10" t="n">
        <v>5033</v>
      </c>
      <c r="J23" s="12" t="n">
        <f aca="false">IFERROR(G23/F23,"")</f>
        <v>0.0178146640587831</v>
      </c>
      <c r="K23" s="13" t="n">
        <f aca="false">IFERROR(E23/G23,"")</f>
        <v>3.99703264094955</v>
      </c>
      <c r="L23" s="13" t="n">
        <f aca="false">IFERROR(E23/H23,"")</f>
        <v>336.75</v>
      </c>
      <c r="M23" s="14" t="n">
        <f aca="false">IFERROR(I23/E23,"")</f>
        <v>3.73645137342242</v>
      </c>
      <c r="N23" s="15" t="n">
        <f aca="false">IF(A23="","",A23-WEEKDAY(A23,3))</f>
        <v>46258</v>
      </c>
    </row>
    <row r="24" customFormat="false" ht="15" hidden="false" customHeight="false" outlineLevel="0" collapsed="false">
      <c r="A24" s="8" t="n">
        <v>46262</v>
      </c>
      <c r="B24" s="9" t="s">
        <v>28</v>
      </c>
      <c r="C24" s="9" t="s">
        <v>29</v>
      </c>
      <c r="D24" s="9" t="s">
        <v>30</v>
      </c>
      <c r="E24" s="10" t="n">
        <v>1180</v>
      </c>
      <c r="F24" s="11" t="n">
        <v>5398</v>
      </c>
      <c r="G24" s="11" t="n">
        <v>757</v>
      </c>
      <c r="H24" s="11" t="n">
        <v>6</v>
      </c>
      <c r="I24" s="10" t="n">
        <v>7937</v>
      </c>
      <c r="J24" s="12" t="n">
        <f aca="false">IFERROR(G24/F24,"")</f>
        <v>0.14023712486106</v>
      </c>
      <c r="K24" s="13" t="n">
        <f aca="false">IFERROR(E24/G24,"")</f>
        <v>1.55878467635403</v>
      </c>
      <c r="L24" s="13" t="n">
        <f aca="false">IFERROR(E24/H24,"")</f>
        <v>196.666666666667</v>
      </c>
      <c r="M24" s="14" t="n">
        <f aca="false">IFERROR(I24/E24,"")</f>
        <v>6.72627118644068</v>
      </c>
      <c r="N24" s="15" t="n">
        <f aca="false">IF(A24="","",A24-WEEKDAY(A24,3))</f>
        <v>46258</v>
      </c>
    </row>
    <row r="25" customFormat="false" ht="15" hidden="false" customHeight="false" outlineLevel="0" collapsed="false">
      <c r="A25" s="8" t="n">
        <v>46262</v>
      </c>
      <c r="B25" s="9" t="s">
        <v>28</v>
      </c>
      <c r="C25" s="9" t="s">
        <v>31</v>
      </c>
      <c r="D25" s="9" t="s">
        <v>32</v>
      </c>
      <c r="E25" s="10" t="n">
        <v>2507</v>
      </c>
      <c r="F25" s="11" t="n">
        <v>97192</v>
      </c>
      <c r="G25" s="11" t="n">
        <v>909</v>
      </c>
      <c r="H25" s="11" t="n">
        <v>11</v>
      </c>
      <c r="I25" s="10" t="n">
        <v>13367</v>
      </c>
      <c r="J25" s="12" t="n">
        <f aca="false">IFERROR(G25/F25,"")</f>
        <v>0.00935262161494773</v>
      </c>
      <c r="K25" s="13" t="n">
        <f aca="false">IFERROR(E25/G25,"")</f>
        <v>2.75797579757976</v>
      </c>
      <c r="L25" s="13" t="n">
        <f aca="false">IFERROR(E25/H25,"")</f>
        <v>227.909090909091</v>
      </c>
      <c r="M25" s="14" t="n">
        <f aca="false">IFERROR(I25/E25,"")</f>
        <v>5.33187076186677</v>
      </c>
      <c r="N25" s="15" t="n">
        <f aca="false">IF(A25="","",A25-WEEKDAY(A25,3))</f>
        <v>46258</v>
      </c>
    </row>
    <row r="26" customFormat="false" ht="15" hidden="false" customHeight="false" outlineLevel="0" collapsed="false">
      <c r="A26" s="8" t="n">
        <v>46262</v>
      </c>
      <c r="B26" s="9" t="s">
        <v>28</v>
      </c>
      <c r="C26" s="9" t="s">
        <v>33</v>
      </c>
      <c r="D26" s="9" t="s">
        <v>30</v>
      </c>
      <c r="E26" s="10" t="n">
        <v>1179</v>
      </c>
      <c r="F26" s="11" t="n">
        <v>8818</v>
      </c>
      <c r="G26" s="11" t="n">
        <v>416</v>
      </c>
      <c r="H26" s="11" t="n">
        <v>4</v>
      </c>
      <c r="I26" s="10" t="n">
        <v>4207</v>
      </c>
      <c r="J26" s="12" t="n">
        <f aca="false">IFERROR(G26/F26,"")</f>
        <v>0.047176230437741</v>
      </c>
      <c r="K26" s="13" t="n">
        <f aca="false">IFERROR(E26/G26,"")</f>
        <v>2.83413461538462</v>
      </c>
      <c r="L26" s="13" t="n">
        <f aca="false">IFERROR(E26/H26,"")</f>
        <v>294.75</v>
      </c>
      <c r="M26" s="14" t="n">
        <f aca="false">IFERROR(I26/E26,"")</f>
        <v>3.56827820186599</v>
      </c>
      <c r="N26" s="15" t="n">
        <f aca="false">IF(A26="","",A26-WEEKDAY(A26,3))</f>
        <v>46258</v>
      </c>
    </row>
    <row r="27" customFormat="false" ht="15" hidden="false" customHeight="false" outlineLevel="0" collapsed="false">
      <c r="A27" s="8" t="n">
        <v>46263</v>
      </c>
      <c r="B27" s="9" t="s">
        <v>24</v>
      </c>
      <c r="C27" s="9" t="s">
        <v>25</v>
      </c>
      <c r="D27" s="9" t="s">
        <v>26</v>
      </c>
      <c r="E27" s="10" t="n">
        <v>2420</v>
      </c>
      <c r="F27" s="11" t="n">
        <v>73457</v>
      </c>
      <c r="G27" s="11" t="n">
        <v>770</v>
      </c>
      <c r="H27" s="11" t="n">
        <v>5</v>
      </c>
      <c r="I27" s="10" t="n">
        <v>5493</v>
      </c>
      <c r="J27" s="12" t="n">
        <f aca="false">IFERROR(G27/F27,"")</f>
        <v>0.0104823229916822</v>
      </c>
      <c r="K27" s="13" t="n">
        <f aca="false">IFERROR(E27/G27,"")</f>
        <v>3.14285714285714</v>
      </c>
      <c r="L27" s="13" t="n">
        <f aca="false">IFERROR(E27/H27,"")</f>
        <v>484</v>
      </c>
      <c r="M27" s="14" t="n">
        <f aca="false">IFERROR(I27/E27,"")</f>
        <v>2.2698347107438</v>
      </c>
      <c r="N27" s="15" t="n">
        <f aca="false">IF(A27="","",A27-WEEKDAY(A27,3))</f>
        <v>46258</v>
      </c>
    </row>
    <row r="28" customFormat="false" ht="15" hidden="false" customHeight="false" outlineLevel="0" collapsed="false">
      <c r="A28" s="8" t="n">
        <v>46263</v>
      </c>
      <c r="B28" s="9" t="s">
        <v>24</v>
      </c>
      <c r="C28" s="9" t="s">
        <v>27</v>
      </c>
      <c r="D28" s="9" t="s">
        <v>26</v>
      </c>
      <c r="E28" s="10" t="n">
        <v>1288</v>
      </c>
      <c r="F28" s="11" t="n">
        <v>19535</v>
      </c>
      <c r="G28" s="11" t="n">
        <v>332</v>
      </c>
      <c r="H28" s="11" t="n">
        <v>4</v>
      </c>
      <c r="I28" s="10" t="n">
        <v>4763</v>
      </c>
      <c r="J28" s="12" t="n">
        <f aca="false">IFERROR(G28/F28,"")</f>
        <v>0.0169951369337087</v>
      </c>
      <c r="K28" s="13" t="n">
        <f aca="false">IFERROR(E28/G28,"")</f>
        <v>3.87951807228916</v>
      </c>
      <c r="L28" s="13" t="n">
        <f aca="false">IFERROR(E28/H28,"")</f>
        <v>322</v>
      </c>
      <c r="M28" s="14" t="n">
        <f aca="false">IFERROR(I28/E28,"")</f>
        <v>3.69798136645963</v>
      </c>
      <c r="N28" s="15" t="n">
        <f aca="false">IF(A28="","",A28-WEEKDAY(A28,3))</f>
        <v>46258</v>
      </c>
    </row>
    <row r="29" customFormat="false" ht="15" hidden="false" customHeight="false" outlineLevel="0" collapsed="false">
      <c r="A29" s="8" t="n">
        <v>46263</v>
      </c>
      <c r="B29" s="9" t="s">
        <v>28</v>
      </c>
      <c r="C29" s="9" t="s">
        <v>29</v>
      </c>
      <c r="D29" s="9" t="s">
        <v>30</v>
      </c>
      <c r="E29" s="10" t="n">
        <v>1166</v>
      </c>
      <c r="F29" s="11" t="n">
        <v>5319</v>
      </c>
      <c r="G29" s="11" t="n">
        <v>708</v>
      </c>
      <c r="H29" s="11" t="n">
        <v>5</v>
      </c>
      <c r="I29" s="10" t="n">
        <v>6401</v>
      </c>
      <c r="J29" s="12" t="n">
        <f aca="false">IFERROR(G29/F29,"")</f>
        <v>0.133107727016356</v>
      </c>
      <c r="K29" s="13" t="n">
        <f aca="false">IFERROR(E29/G29,"")</f>
        <v>1.64689265536723</v>
      </c>
      <c r="L29" s="13" t="n">
        <f aca="false">IFERROR(E29/H29,"")</f>
        <v>233.2</v>
      </c>
      <c r="M29" s="14" t="n">
        <f aca="false">IFERROR(I29/E29,"")</f>
        <v>5.48970840480274</v>
      </c>
      <c r="N29" s="15" t="n">
        <f aca="false">IF(A29="","",A29-WEEKDAY(A29,3))</f>
        <v>46258</v>
      </c>
    </row>
    <row r="30" customFormat="false" ht="15" hidden="false" customHeight="false" outlineLevel="0" collapsed="false">
      <c r="A30" s="8" t="n">
        <v>46263</v>
      </c>
      <c r="B30" s="9" t="s">
        <v>28</v>
      </c>
      <c r="C30" s="9" t="s">
        <v>31</v>
      </c>
      <c r="D30" s="9" t="s">
        <v>32</v>
      </c>
      <c r="E30" s="10" t="n">
        <v>2641</v>
      </c>
      <c r="F30" s="11" t="n">
        <v>83211</v>
      </c>
      <c r="G30" s="11" t="n">
        <v>785</v>
      </c>
      <c r="H30" s="11" t="n">
        <v>10</v>
      </c>
      <c r="I30" s="10" t="n">
        <v>11760</v>
      </c>
      <c r="J30" s="12" t="n">
        <f aca="false">IFERROR(G30/F30,"")</f>
        <v>0.00943384889017077</v>
      </c>
      <c r="K30" s="13" t="n">
        <f aca="false">IFERROR(E30/G30,"")</f>
        <v>3.36433121019108</v>
      </c>
      <c r="L30" s="13" t="n">
        <f aca="false">IFERROR(E30/H30,"")</f>
        <v>264.1</v>
      </c>
      <c r="M30" s="14" t="n">
        <f aca="false">IFERROR(I30/E30,"")</f>
        <v>4.45285876561908</v>
      </c>
      <c r="N30" s="15" t="n">
        <f aca="false">IF(A30="","",A30-WEEKDAY(A30,3))</f>
        <v>46258</v>
      </c>
    </row>
    <row r="31" customFormat="false" ht="15" hidden="false" customHeight="false" outlineLevel="0" collapsed="false">
      <c r="A31" s="8" t="n">
        <v>46263</v>
      </c>
      <c r="B31" s="9" t="s">
        <v>28</v>
      </c>
      <c r="C31" s="9" t="s">
        <v>33</v>
      </c>
      <c r="D31" s="9" t="s">
        <v>30</v>
      </c>
      <c r="E31" s="10" t="n">
        <v>1197</v>
      </c>
      <c r="F31" s="11" t="n">
        <v>8255</v>
      </c>
      <c r="G31" s="11" t="n">
        <v>390</v>
      </c>
      <c r="H31" s="11" t="n">
        <v>3</v>
      </c>
      <c r="I31" s="10" t="n">
        <v>3222</v>
      </c>
      <c r="J31" s="12" t="n">
        <f aca="false">IFERROR(G31/F31,"")</f>
        <v>0.047244094488189</v>
      </c>
      <c r="K31" s="13" t="n">
        <f aca="false">IFERROR(E31/G31,"")</f>
        <v>3.06923076923077</v>
      </c>
      <c r="L31" s="13" t="n">
        <f aca="false">IFERROR(E31/H31,"")</f>
        <v>399</v>
      </c>
      <c r="M31" s="14" t="n">
        <f aca="false">IFERROR(I31/E31,"")</f>
        <v>2.69172932330827</v>
      </c>
      <c r="N31" s="15" t="n">
        <f aca="false">IF(A31="","",A31-WEEKDAY(A31,3))</f>
        <v>46258</v>
      </c>
    </row>
    <row r="32" customFormat="false" ht="15" hidden="false" customHeight="false" outlineLevel="0" collapsed="false">
      <c r="A32" s="8" t="n">
        <v>46264</v>
      </c>
      <c r="B32" s="9" t="s">
        <v>24</v>
      </c>
      <c r="C32" s="9" t="s">
        <v>25</v>
      </c>
      <c r="D32" s="9" t="s">
        <v>26</v>
      </c>
      <c r="E32" s="10" t="n">
        <v>2737</v>
      </c>
      <c r="F32" s="11" t="n">
        <v>72718</v>
      </c>
      <c r="G32" s="11" t="n">
        <v>746</v>
      </c>
      <c r="H32" s="11" t="n">
        <v>6</v>
      </c>
      <c r="I32" s="10" t="n">
        <v>6919</v>
      </c>
      <c r="J32" s="12" t="n">
        <f aca="false">IFERROR(G32/F32,"")</f>
        <v>0.0102588079980197</v>
      </c>
      <c r="K32" s="13" t="n">
        <f aca="false">IFERROR(E32/G32,"")</f>
        <v>3.66890080428954</v>
      </c>
      <c r="L32" s="13" t="n">
        <f aca="false">IFERROR(E32/H32,"")</f>
        <v>456.166666666667</v>
      </c>
      <c r="M32" s="14" t="n">
        <f aca="false">IFERROR(I32/E32,"")</f>
        <v>2.52795031055901</v>
      </c>
      <c r="N32" s="15" t="n">
        <f aca="false">IF(A32="","",A32-WEEKDAY(A32,3))</f>
        <v>46258</v>
      </c>
    </row>
    <row r="33" customFormat="false" ht="15" hidden="false" customHeight="false" outlineLevel="0" collapsed="false">
      <c r="A33" s="8" t="n">
        <v>46264</v>
      </c>
      <c r="B33" s="9" t="s">
        <v>24</v>
      </c>
      <c r="C33" s="9" t="s">
        <v>27</v>
      </c>
      <c r="D33" s="9" t="s">
        <v>26</v>
      </c>
      <c r="E33" s="10" t="n">
        <v>1321</v>
      </c>
      <c r="F33" s="11" t="n">
        <v>21181</v>
      </c>
      <c r="G33" s="11" t="n">
        <v>356</v>
      </c>
      <c r="H33" s="11" t="n">
        <v>5</v>
      </c>
      <c r="I33" s="10" t="n">
        <v>6549</v>
      </c>
      <c r="J33" s="12" t="n">
        <f aca="false">IFERROR(G33/F33,"")</f>
        <v>0.0168075161701525</v>
      </c>
      <c r="K33" s="13" t="n">
        <f aca="false">IFERROR(E33/G33,"")</f>
        <v>3.71067415730337</v>
      </c>
      <c r="L33" s="13" t="n">
        <f aca="false">IFERROR(E33/H33,"")</f>
        <v>264.2</v>
      </c>
      <c r="M33" s="14" t="n">
        <f aca="false">IFERROR(I33/E33,"")</f>
        <v>4.95760787282362</v>
      </c>
      <c r="N33" s="15" t="n">
        <f aca="false">IF(A33="","",A33-WEEKDAY(A33,3))</f>
        <v>46258</v>
      </c>
    </row>
    <row r="34" customFormat="false" ht="15" hidden="false" customHeight="false" outlineLevel="0" collapsed="false">
      <c r="A34" s="8" t="n">
        <v>46264</v>
      </c>
      <c r="B34" s="9" t="s">
        <v>28</v>
      </c>
      <c r="C34" s="9" t="s">
        <v>29</v>
      </c>
      <c r="D34" s="9" t="s">
        <v>30</v>
      </c>
      <c r="E34" s="10" t="n">
        <v>1164</v>
      </c>
      <c r="F34" s="11" t="n">
        <v>5404</v>
      </c>
      <c r="G34" s="11" t="n">
        <v>731</v>
      </c>
      <c r="H34" s="11" t="n">
        <v>5</v>
      </c>
      <c r="I34" s="10" t="n">
        <v>6284</v>
      </c>
      <c r="J34" s="12" t="n">
        <f aca="false">IFERROR(G34/F34,"")</f>
        <v>0.135270170244264</v>
      </c>
      <c r="K34" s="13" t="n">
        <f aca="false">IFERROR(E34/G34,"")</f>
        <v>1.59233926128591</v>
      </c>
      <c r="L34" s="13" t="n">
        <f aca="false">IFERROR(E34/H34,"")</f>
        <v>232.8</v>
      </c>
      <c r="M34" s="14" t="n">
        <f aca="false">IFERROR(I34/E34,"")</f>
        <v>5.39862542955327</v>
      </c>
      <c r="N34" s="15" t="n">
        <f aca="false">IF(A34="","",A34-WEEKDAY(A34,3))</f>
        <v>46258</v>
      </c>
    </row>
    <row r="35" customFormat="false" ht="15" hidden="false" customHeight="false" outlineLevel="0" collapsed="false">
      <c r="A35" s="8" t="n">
        <v>46264</v>
      </c>
      <c r="B35" s="9" t="s">
        <v>28</v>
      </c>
      <c r="C35" s="9" t="s">
        <v>31</v>
      </c>
      <c r="D35" s="9" t="s">
        <v>32</v>
      </c>
      <c r="E35" s="10" t="n">
        <v>2817</v>
      </c>
      <c r="F35" s="11" t="n">
        <v>90587</v>
      </c>
      <c r="G35" s="11" t="n">
        <v>847</v>
      </c>
      <c r="H35" s="11" t="n">
        <v>9</v>
      </c>
      <c r="I35" s="10" t="n">
        <v>10326</v>
      </c>
      <c r="J35" s="12" t="n">
        <f aca="false">IFERROR(G35/F35,"")</f>
        <v>0.00935012750173866</v>
      </c>
      <c r="K35" s="13" t="n">
        <f aca="false">IFERROR(E35/G35,"")</f>
        <v>3.3258559622196</v>
      </c>
      <c r="L35" s="13" t="n">
        <f aca="false">IFERROR(E35/H35,"")</f>
        <v>313</v>
      </c>
      <c r="M35" s="14" t="n">
        <f aca="false">IFERROR(I35/E35,"")</f>
        <v>3.66560170394036</v>
      </c>
      <c r="N35" s="15" t="n">
        <f aca="false">IF(A35="","",A35-WEEKDAY(A35,3))</f>
        <v>46258</v>
      </c>
    </row>
    <row r="36" customFormat="false" ht="15" hidden="false" customHeight="false" outlineLevel="0" collapsed="false">
      <c r="A36" s="8" t="n">
        <v>46264</v>
      </c>
      <c r="B36" s="9" t="s">
        <v>28</v>
      </c>
      <c r="C36" s="9" t="s">
        <v>33</v>
      </c>
      <c r="D36" s="9" t="s">
        <v>30</v>
      </c>
      <c r="E36" s="10" t="n">
        <v>1260</v>
      </c>
      <c r="F36" s="11" t="n">
        <v>9873</v>
      </c>
      <c r="G36" s="11" t="n">
        <v>518</v>
      </c>
      <c r="H36" s="11" t="n">
        <v>5</v>
      </c>
      <c r="I36" s="10" t="n">
        <v>5675</v>
      </c>
      <c r="J36" s="12" t="n">
        <f aca="false">IFERROR(G36/F36,"")</f>
        <v>0.0524663222931227</v>
      </c>
      <c r="K36" s="13" t="n">
        <f aca="false">IFERROR(E36/G36,"")</f>
        <v>2.43243243243243</v>
      </c>
      <c r="L36" s="13" t="n">
        <f aca="false">IFERROR(E36/H36,"")</f>
        <v>252</v>
      </c>
      <c r="M36" s="14" t="n">
        <f aca="false">IFERROR(I36/E36,"")</f>
        <v>4.50396825396825</v>
      </c>
      <c r="N36" s="15" t="n">
        <f aca="false">IF(A36="","",A36-WEEKDAY(A36,3))</f>
        <v>46258</v>
      </c>
    </row>
    <row r="37" customFormat="false" ht="15" hidden="false" customHeight="false" outlineLevel="0" collapsed="false">
      <c r="A37" s="8" t="n">
        <v>46265</v>
      </c>
      <c r="B37" s="9" t="s">
        <v>24</v>
      </c>
      <c r="C37" s="9" t="s">
        <v>25</v>
      </c>
      <c r="D37" s="9" t="s">
        <v>26</v>
      </c>
      <c r="E37" s="10" t="n">
        <v>2700</v>
      </c>
      <c r="F37" s="11" t="n">
        <v>73737</v>
      </c>
      <c r="G37" s="11" t="n">
        <v>813</v>
      </c>
      <c r="H37" s="11" t="n">
        <v>6</v>
      </c>
      <c r="I37" s="10" t="n">
        <v>6575</v>
      </c>
      <c r="J37" s="12" t="n">
        <f aca="false">IFERROR(G37/F37,"")</f>
        <v>0.0110256723219008</v>
      </c>
      <c r="K37" s="13" t="n">
        <f aca="false">IFERROR(E37/G37,"")</f>
        <v>3.3210332103321</v>
      </c>
      <c r="L37" s="13" t="n">
        <f aca="false">IFERROR(E37/H37,"")</f>
        <v>450</v>
      </c>
      <c r="M37" s="14" t="n">
        <f aca="false">IFERROR(I37/E37,"")</f>
        <v>2.43518518518519</v>
      </c>
      <c r="N37" s="15" t="n">
        <f aca="false">IF(A37="","",A37-WEEKDAY(A37,3))</f>
        <v>46265</v>
      </c>
    </row>
    <row r="38" customFormat="false" ht="15" hidden="false" customHeight="false" outlineLevel="0" collapsed="false">
      <c r="A38" s="8" t="n">
        <v>46265</v>
      </c>
      <c r="B38" s="9" t="s">
        <v>24</v>
      </c>
      <c r="C38" s="9" t="s">
        <v>27</v>
      </c>
      <c r="D38" s="9" t="s">
        <v>26</v>
      </c>
      <c r="E38" s="10" t="n">
        <v>1294</v>
      </c>
      <c r="F38" s="11" t="n">
        <v>20074</v>
      </c>
      <c r="G38" s="11" t="n">
        <v>349</v>
      </c>
      <c r="H38" s="11" t="n">
        <v>5</v>
      </c>
      <c r="I38" s="10" t="n">
        <v>6535</v>
      </c>
      <c r="J38" s="12" t="n">
        <f aca="false">IFERROR(G38/F38,"")</f>
        <v>0.0173856730098635</v>
      </c>
      <c r="K38" s="13" t="n">
        <f aca="false">IFERROR(E38/G38,"")</f>
        <v>3.70773638968481</v>
      </c>
      <c r="L38" s="13" t="n">
        <f aca="false">IFERROR(E38/H38,"")</f>
        <v>258.8</v>
      </c>
      <c r="M38" s="14" t="n">
        <f aca="false">IFERROR(I38/E38,"")</f>
        <v>5.05023183925812</v>
      </c>
      <c r="N38" s="15" t="n">
        <f aca="false">IF(A38="","",A38-WEEKDAY(A38,3))</f>
        <v>46265</v>
      </c>
    </row>
    <row r="39" customFormat="false" ht="15" hidden="false" customHeight="false" outlineLevel="0" collapsed="false">
      <c r="A39" s="8" t="n">
        <v>46265</v>
      </c>
      <c r="B39" s="9" t="s">
        <v>28</v>
      </c>
      <c r="C39" s="9" t="s">
        <v>29</v>
      </c>
      <c r="D39" s="9" t="s">
        <v>30</v>
      </c>
      <c r="E39" s="10" t="n">
        <v>1091</v>
      </c>
      <c r="F39" s="11" t="n">
        <v>5655</v>
      </c>
      <c r="G39" s="11" t="n">
        <v>846</v>
      </c>
      <c r="H39" s="11" t="n">
        <v>7</v>
      </c>
      <c r="I39" s="10" t="n">
        <v>8977</v>
      </c>
      <c r="J39" s="12" t="n">
        <f aca="false">IFERROR(G39/F39,"")</f>
        <v>0.149602122015915</v>
      </c>
      <c r="K39" s="13" t="n">
        <f aca="false">IFERROR(E39/G39,"")</f>
        <v>1.28959810874705</v>
      </c>
      <c r="L39" s="13" t="n">
        <f aca="false">IFERROR(E39/H39,"")</f>
        <v>155.857142857143</v>
      </c>
      <c r="M39" s="14" t="n">
        <f aca="false">IFERROR(I39/E39,"")</f>
        <v>8.2282309807516</v>
      </c>
      <c r="N39" s="15" t="n">
        <f aca="false">IF(A39="","",A39-WEEKDAY(A39,3))</f>
        <v>46265</v>
      </c>
    </row>
    <row r="40" customFormat="false" ht="15" hidden="false" customHeight="false" outlineLevel="0" collapsed="false">
      <c r="A40" s="8" t="n">
        <v>46265</v>
      </c>
      <c r="B40" s="9" t="s">
        <v>28</v>
      </c>
      <c r="C40" s="9" t="s">
        <v>31</v>
      </c>
      <c r="D40" s="9" t="s">
        <v>32</v>
      </c>
      <c r="E40" s="10" t="n">
        <v>2579</v>
      </c>
      <c r="F40" s="11" t="n">
        <v>85083</v>
      </c>
      <c r="G40" s="11" t="n">
        <v>733</v>
      </c>
      <c r="H40" s="11" t="n">
        <v>7</v>
      </c>
      <c r="I40" s="10" t="n">
        <v>8362</v>
      </c>
      <c r="J40" s="12" t="n">
        <f aca="false">IFERROR(G40/F40,"")</f>
        <v>0.00861511700339668</v>
      </c>
      <c r="K40" s="13" t="n">
        <f aca="false">IFERROR(E40/G40,"")</f>
        <v>3.51841746248295</v>
      </c>
      <c r="L40" s="13" t="n">
        <f aca="false">IFERROR(E40/H40,"")</f>
        <v>368.428571428571</v>
      </c>
      <c r="M40" s="14" t="n">
        <f aca="false">IFERROR(I40/E40,"")</f>
        <v>3.24234199302055</v>
      </c>
      <c r="N40" s="15" t="n">
        <f aca="false">IF(A40="","",A40-WEEKDAY(A40,3))</f>
        <v>46265</v>
      </c>
    </row>
    <row r="41" customFormat="false" ht="15" hidden="false" customHeight="false" outlineLevel="0" collapsed="false">
      <c r="A41" s="8" t="n">
        <v>46265</v>
      </c>
      <c r="B41" s="9" t="s">
        <v>28</v>
      </c>
      <c r="C41" s="9" t="s">
        <v>33</v>
      </c>
      <c r="D41" s="9" t="s">
        <v>30</v>
      </c>
      <c r="E41" s="10" t="n">
        <v>1277</v>
      </c>
      <c r="F41" s="11" t="n">
        <v>9613</v>
      </c>
      <c r="G41" s="11" t="n">
        <v>479</v>
      </c>
      <c r="H41" s="11" t="n">
        <v>4</v>
      </c>
      <c r="I41" s="10" t="n">
        <v>4532</v>
      </c>
      <c r="J41" s="12" t="n">
        <f aca="false">IFERROR(G41/F41,"")</f>
        <v>0.0498283574326433</v>
      </c>
      <c r="K41" s="13" t="n">
        <f aca="false">IFERROR(E41/G41,"")</f>
        <v>2.66597077244259</v>
      </c>
      <c r="L41" s="13" t="n">
        <f aca="false">IFERROR(E41/H41,"")</f>
        <v>319.25</v>
      </c>
      <c r="M41" s="14" t="n">
        <f aca="false">IFERROR(I41/E41,"")</f>
        <v>3.54894283476899</v>
      </c>
      <c r="N41" s="15" t="n">
        <f aca="false">IF(A41="","",A41-WEEKDAY(A41,3))</f>
        <v>46265</v>
      </c>
    </row>
    <row r="42" customFormat="false" ht="15" hidden="false" customHeight="false" outlineLevel="0" collapsed="false">
      <c r="A42" s="8" t="n">
        <v>46266</v>
      </c>
      <c r="B42" s="9" t="s">
        <v>24</v>
      </c>
      <c r="C42" s="9" t="s">
        <v>25</v>
      </c>
      <c r="D42" s="9" t="s">
        <v>26</v>
      </c>
      <c r="E42" s="10" t="n">
        <v>2427</v>
      </c>
      <c r="F42" s="11" t="n">
        <v>80505</v>
      </c>
      <c r="G42" s="11" t="n">
        <v>936</v>
      </c>
      <c r="H42" s="11" t="n">
        <v>8</v>
      </c>
      <c r="I42" s="10" t="n">
        <v>9430</v>
      </c>
      <c r="J42" s="12" t="n">
        <f aca="false">IFERROR(G42/F42,"")</f>
        <v>0.0116266070430408</v>
      </c>
      <c r="K42" s="13" t="n">
        <f aca="false">IFERROR(E42/G42,"")</f>
        <v>2.59294871794872</v>
      </c>
      <c r="L42" s="13" t="n">
        <f aca="false">IFERROR(E42/H42,"")</f>
        <v>303.375</v>
      </c>
      <c r="M42" s="14" t="n">
        <f aca="false">IFERROR(I42/E42,"")</f>
        <v>3.88545529460239</v>
      </c>
      <c r="N42" s="15" t="n">
        <f aca="false">IF(A42="","",A42-WEEKDAY(A42,3))</f>
        <v>46265</v>
      </c>
    </row>
    <row r="43" customFormat="false" ht="15" hidden="false" customHeight="false" outlineLevel="0" collapsed="false">
      <c r="A43" s="8" t="n">
        <v>46266</v>
      </c>
      <c r="B43" s="9" t="s">
        <v>24</v>
      </c>
      <c r="C43" s="9" t="s">
        <v>27</v>
      </c>
      <c r="D43" s="9" t="s">
        <v>26</v>
      </c>
      <c r="E43" s="10" t="n">
        <v>1395</v>
      </c>
      <c r="F43" s="11" t="n">
        <v>19650</v>
      </c>
      <c r="G43" s="11" t="n">
        <v>368</v>
      </c>
      <c r="H43" s="11" t="n">
        <v>5</v>
      </c>
      <c r="I43" s="10" t="n">
        <v>6438</v>
      </c>
      <c r="J43" s="12" t="n">
        <f aca="false">IFERROR(G43/F43,"")</f>
        <v>0.0187277353689567</v>
      </c>
      <c r="K43" s="13" t="n">
        <f aca="false">IFERROR(E43/G43,"")</f>
        <v>3.79076086956522</v>
      </c>
      <c r="L43" s="13" t="n">
        <f aca="false">IFERROR(E43/H43,"")</f>
        <v>279</v>
      </c>
      <c r="M43" s="14" t="n">
        <f aca="false">IFERROR(I43/E43,"")</f>
        <v>4.61505376344086</v>
      </c>
      <c r="N43" s="15" t="n">
        <f aca="false">IF(A43="","",A43-WEEKDAY(A43,3))</f>
        <v>46265</v>
      </c>
    </row>
    <row r="44" customFormat="false" ht="15" hidden="false" customHeight="false" outlineLevel="0" collapsed="false">
      <c r="A44" s="8" t="n">
        <v>46266</v>
      </c>
      <c r="B44" s="9" t="s">
        <v>28</v>
      </c>
      <c r="C44" s="9" t="s">
        <v>29</v>
      </c>
      <c r="D44" s="9" t="s">
        <v>30</v>
      </c>
      <c r="E44" s="10" t="n">
        <v>1183</v>
      </c>
      <c r="F44" s="11" t="n">
        <v>5092</v>
      </c>
      <c r="G44" s="11" t="n">
        <v>703</v>
      </c>
      <c r="H44" s="11" t="n">
        <v>6</v>
      </c>
      <c r="I44" s="10" t="n">
        <v>7975</v>
      </c>
      <c r="J44" s="12" t="n">
        <f aca="false">IFERROR(G44/F44,"")</f>
        <v>0.138059701492537</v>
      </c>
      <c r="K44" s="13" t="n">
        <f aca="false">IFERROR(E44/G44,"")</f>
        <v>1.6827880512091</v>
      </c>
      <c r="L44" s="13" t="n">
        <f aca="false">IFERROR(E44/H44,"")</f>
        <v>197.166666666667</v>
      </c>
      <c r="M44" s="14" t="n">
        <f aca="false">IFERROR(I44/E44,"")</f>
        <v>6.74133558748943</v>
      </c>
      <c r="N44" s="15" t="n">
        <f aca="false">IF(A44="","",A44-WEEKDAY(A44,3))</f>
        <v>46265</v>
      </c>
    </row>
    <row r="45" customFormat="false" ht="15" hidden="false" customHeight="false" outlineLevel="0" collapsed="false">
      <c r="A45" s="8" t="n">
        <v>46266</v>
      </c>
      <c r="B45" s="9" t="s">
        <v>28</v>
      </c>
      <c r="C45" s="9" t="s">
        <v>31</v>
      </c>
      <c r="D45" s="9" t="s">
        <v>32</v>
      </c>
      <c r="E45" s="10" t="n">
        <v>2557</v>
      </c>
      <c r="F45" s="11" t="n">
        <v>83287</v>
      </c>
      <c r="G45" s="11" t="n">
        <v>713</v>
      </c>
      <c r="H45" s="11" t="n">
        <v>9</v>
      </c>
      <c r="I45" s="10" t="n">
        <v>10946</v>
      </c>
      <c r="J45" s="12" t="n">
        <f aca="false">IFERROR(G45/F45,"")</f>
        <v>0.00856075978243904</v>
      </c>
      <c r="K45" s="13" t="n">
        <f aca="false">IFERROR(E45/G45,"")</f>
        <v>3.58625525946704</v>
      </c>
      <c r="L45" s="13" t="n">
        <f aca="false">IFERROR(E45/H45,"")</f>
        <v>284.111111111111</v>
      </c>
      <c r="M45" s="14" t="n">
        <f aca="false">IFERROR(I45/E45,"")</f>
        <v>4.28079780993352</v>
      </c>
      <c r="N45" s="15" t="n">
        <f aca="false">IF(A45="","",A45-WEEKDAY(A45,3))</f>
        <v>46265</v>
      </c>
    </row>
    <row r="46" customFormat="false" ht="15" hidden="false" customHeight="false" outlineLevel="0" collapsed="false">
      <c r="A46" s="8" t="n">
        <v>46266</v>
      </c>
      <c r="B46" s="9" t="s">
        <v>28</v>
      </c>
      <c r="C46" s="9" t="s">
        <v>33</v>
      </c>
      <c r="D46" s="9" t="s">
        <v>30</v>
      </c>
      <c r="E46" s="10" t="n">
        <v>1132</v>
      </c>
      <c r="F46" s="11" t="n">
        <v>9588</v>
      </c>
      <c r="G46" s="11" t="n">
        <v>512</v>
      </c>
      <c r="H46" s="11" t="n">
        <v>5</v>
      </c>
      <c r="I46" s="10" t="n">
        <v>5418</v>
      </c>
      <c r="J46" s="12" t="n">
        <f aca="false">IFERROR(G46/F46,"")</f>
        <v>0.0534000834376304</v>
      </c>
      <c r="K46" s="13" t="n">
        <f aca="false">IFERROR(E46/G46,"")</f>
        <v>2.2109375</v>
      </c>
      <c r="L46" s="13" t="n">
        <f aca="false">IFERROR(E46/H46,"")</f>
        <v>226.4</v>
      </c>
      <c r="M46" s="14" t="n">
        <f aca="false">IFERROR(I46/E46,"")</f>
        <v>4.78621908127209</v>
      </c>
      <c r="N46" s="15" t="n">
        <f aca="false">IF(A46="","",A46-WEEKDAY(A46,3))</f>
        <v>46265</v>
      </c>
    </row>
    <row r="47" customFormat="false" ht="15" hidden="false" customHeight="false" outlineLevel="0" collapsed="false">
      <c r="A47" s="8" t="n">
        <v>46267</v>
      </c>
      <c r="B47" s="9" t="s">
        <v>24</v>
      </c>
      <c r="C47" s="9" t="s">
        <v>25</v>
      </c>
      <c r="D47" s="9" t="s">
        <v>26</v>
      </c>
      <c r="E47" s="10" t="n">
        <v>2620</v>
      </c>
      <c r="F47" s="11" t="n">
        <v>72243</v>
      </c>
      <c r="G47" s="11" t="n">
        <v>741</v>
      </c>
      <c r="H47" s="11" t="n">
        <v>6</v>
      </c>
      <c r="I47" s="10" t="n">
        <v>7003</v>
      </c>
      <c r="J47" s="12" t="n">
        <f aca="false">IFERROR(G47/F47,"")</f>
        <v>0.0102570491258669</v>
      </c>
      <c r="K47" s="13" t="n">
        <f aca="false">IFERROR(E47/G47,"")</f>
        <v>3.5357624831309</v>
      </c>
      <c r="L47" s="13" t="n">
        <f aca="false">IFERROR(E47/H47,"")</f>
        <v>436.666666666667</v>
      </c>
      <c r="M47" s="14" t="n">
        <f aca="false">IFERROR(I47/E47,"")</f>
        <v>2.67290076335878</v>
      </c>
      <c r="N47" s="15" t="n">
        <f aca="false">IF(A47="","",A47-WEEKDAY(A47,3))</f>
        <v>46265</v>
      </c>
    </row>
    <row r="48" customFormat="false" ht="15" hidden="false" customHeight="false" outlineLevel="0" collapsed="false">
      <c r="A48" s="8" t="n">
        <v>46267</v>
      </c>
      <c r="B48" s="9" t="s">
        <v>24</v>
      </c>
      <c r="C48" s="9" t="s">
        <v>27</v>
      </c>
      <c r="D48" s="9" t="s">
        <v>26</v>
      </c>
      <c r="E48" s="10" t="n">
        <v>1406</v>
      </c>
      <c r="F48" s="11" t="n">
        <v>22821</v>
      </c>
      <c r="G48" s="11" t="n">
        <v>407</v>
      </c>
      <c r="H48" s="11" t="n">
        <v>6</v>
      </c>
      <c r="I48" s="10" t="n">
        <v>7745</v>
      </c>
      <c r="J48" s="12" t="n">
        <f aca="false">IFERROR(G48/F48,"")</f>
        <v>0.0178344507252092</v>
      </c>
      <c r="K48" s="13" t="n">
        <f aca="false">IFERROR(E48/G48,"")</f>
        <v>3.45454545454545</v>
      </c>
      <c r="L48" s="13" t="n">
        <f aca="false">IFERROR(E48/H48,"")</f>
        <v>234.333333333333</v>
      </c>
      <c r="M48" s="14" t="n">
        <f aca="false">IFERROR(I48/E48,"")</f>
        <v>5.50853485064011</v>
      </c>
      <c r="N48" s="15" t="n">
        <f aca="false">IF(A48="","",A48-WEEKDAY(A48,3))</f>
        <v>46265</v>
      </c>
    </row>
    <row r="49" customFormat="false" ht="15" hidden="false" customHeight="false" outlineLevel="0" collapsed="false">
      <c r="A49" s="8" t="n">
        <v>46267</v>
      </c>
      <c r="B49" s="9" t="s">
        <v>28</v>
      </c>
      <c r="C49" s="9" t="s">
        <v>29</v>
      </c>
      <c r="D49" s="9" t="s">
        <v>30</v>
      </c>
      <c r="E49" s="10" t="n">
        <v>1049</v>
      </c>
      <c r="F49" s="11" t="n">
        <v>4942</v>
      </c>
      <c r="G49" s="11" t="n">
        <v>672</v>
      </c>
      <c r="H49" s="11" t="n">
        <v>5</v>
      </c>
      <c r="I49" s="10" t="n">
        <v>6556</v>
      </c>
      <c r="J49" s="12" t="n">
        <f aca="false">IFERROR(G49/F49,"")</f>
        <v>0.135977337110482</v>
      </c>
      <c r="K49" s="13" t="n">
        <f aca="false">IFERROR(E49/G49,"")</f>
        <v>1.5610119047619</v>
      </c>
      <c r="L49" s="13" t="n">
        <f aca="false">IFERROR(E49/H49,"")</f>
        <v>209.8</v>
      </c>
      <c r="M49" s="14" t="n">
        <f aca="false">IFERROR(I49/E49,"")</f>
        <v>6.24976167778837</v>
      </c>
      <c r="N49" s="15" t="n">
        <f aca="false">IF(A49="","",A49-WEEKDAY(A49,3))</f>
        <v>46265</v>
      </c>
    </row>
    <row r="50" customFormat="false" ht="15" hidden="false" customHeight="false" outlineLevel="0" collapsed="false">
      <c r="A50" s="8" t="n">
        <v>46267</v>
      </c>
      <c r="B50" s="9" t="s">
        <v>28</v>
      </c>
      <c r="C50" s="9" t="s">
        <v>31</v>
      </c>
      <c r="D50" s="9" t="s">
        <v>32</v>
      </c>
      <c r="E50" s="10" t="n">
        <v>2596</v>
      </c>
      <c r="F50" s="11" t="n">
        <v>88542</v>
      </c>
      <c r="G50" s="11" t="n">
        <v>756</v>
      </c>
      <c r="H50" s="11" t="n">
        <v>9</v>
      </c>
      <c r="I50" s="10" t="n">
        <v>10465</v>
      </c>
      <c r="J50" s="12" t="n">
        <f aca="false">IFERROR(G50/F50,"")</f>
        <v>0.00853832079690994</v>
      </c>
      <c r="K50" s="13" t="n">
        <f aca="false">IFERROR(E50/G50,"")</f>
        <v>3.43386243386243</v>
      </c>
      <c r="L50" s="13" t="n">
        <f aca="false">IFERROR(E50/H50,"")</f>
        <v>288.444444444444</v>
      </c>
      <c r="M50" s="14" t="n">
        <f aca="false">IFERROR(I50/E50,"")</f>
        <v>4.03120184899846</v>
      </c>
      <c r="N50" s="15" t="n">
        <f aca="false">IF(A50="","",A50-WEEKDAY(A50,3))</f>
        <v>46265</v>
      </c>
    </row>
    <row r="51" customFormat="false" ht="15" hidden="false" customHeight="false" outlineLevel="0" collapsed="false">
      <c r="A51" s="8" t="n">
        <v>46267</v>
      </c>
      <c r="B51" s="9" t="s">
        <v>28</v>
      </c>
      <c r="C51" s="9" t="s">
        <v>33</v>
      </c>
      <c r="D51" s="9" t="s">
        <v>30</v>
      </c>
      <c r="E51" s="10" t="n">
        <v>1192</v>
      </c>
      <c r="F51" s="11" t="n">
        <v>9150</v>
      </c>
      <c r="G51" s="11" t="n">
        <v>483</v>
      </c>
      <c r="H51" s="11" t="n">
        <v>4</v>
      </c>
      <c r="I51" s="10" t="n">
        <v>4584</v>
      </c>
      <c r="J51" s="12" t="n">
        <f aca="false">IFERROR(G51/F51,"")</f>
        <v>0.0527868852459016</v>
      </c>
      <c r="K51" s="13" t="n">
        <f aca="false">IFERROR(E51/G51,"")</f>
        <v>2.46790890269151</v>
      </c>
      <c r="L51" s="13" t="n">
        <f aca="false">IFERROR(E51/H51,"")</f>
        <v>298</v>
      </c>
      <c r="M51" s="14" t="n">
        <f aca="false">IFERROR(I51/E51,"")</f>
        <v>3.84563758389262</v>
      </c>
      <c r="N51" s="15" t="n">
        <f aca="false">IF(A51="","",A51-WEEKDAY(A51,3))</f>
        <v>46265</v>
      </c>
    </row>
    <row r="52" customFormat="false" ht="15" hidden="false" customHeight="false" outlineLevel="0" collapsed="false">
      <c r="A52" s="8" t="n">
        <v>46268</v>
      </c>
      <c r="B52" s="9" t="s">
        <v>24</v>
      </c>
      <c r="C52" s="9" t="s">
        <v>25</v>
      </c>
      <c r="D52" s="9" t="s">
        <v>26</v>
      </c>
      <c r="E52" s="10" t="n">
        <v>2601</v>
      </c>
      <c r="F52" s="11" t="n">
        <v>78496</v>
      </c>
      <c r="G52" s="11" t="n">
        <v>866</v>
      </c>
      <c r="H52" s="11" t="n">
        <v>6</v>
      </c>
      <c r="I52" s="10" t="n">
        <v>6859</v>
      </c>
      <c r="J52" s="12" t="n">
        <f aca="false">IFERROR(G52/F52,"")</f>
        <v>0.0110324092947411</v>
      </c>
      <c r="K52" s="13" t="n">
        <f aca="false">IFERROR(E52/G52,"")</f>
        <v>3.00346420323326</v>
      </c>
      <c r="L52" s="13" t="n">
        <f aca="false">IFERROR(E52/H52,"")</f>
        <v>433.5</v>
      </c>
      <c r="M52" s="14" t="n">
        <f aca="false">IFERROR(I52/E52,"")</f>
        <v>2.63706266820454</v>
      </c>
      <c r="N52" s="15" t="n">
        <f aca="false">IF(A52="","",A52-WEEKDAY(A52,3))</f>
        <v>46265</v>
      </c>
    </row>
    <row r="53" customFormat="false" ht="15" hidden="false" customHeight="false" outlineLevel="0" collapsed="false">
      <c r="A53" s="8" t="n">
        <v>46268</v>
      </c>
      <c r="B53" s="9" t="s">
        <v>24</v>
      </c>
      <c r="C53" s="9" t="s">
        <v>27</v>
      </c>
      <c r="D53" s="9" t="s">
        <v>26</v>
      </c>
      <c r="E53" s="10" t="n">
        <v>1329</v>
      </c>
      <c r="F53" s="11" t="n">
        <v>18917</v>
      </c>
      <c r="G53" s="11" t="n">
        <v>355</v>
      </c>
      <c r="H53" s="11" t="n">
        <v>4</v>
      </c>
      <c r="I53" s="10" t="n">
        <v>4987</v>
      </c>
      <c r="J53" s="12" t="n">
        <f aca="false">IFERROR(G53/F53,"")</f>
        <v>0.0187661891420416</v>
      </c>
      <c r="K53" s="13" t="n">
        <f aca="false">IFERROR(E53/G53,"")</f>
        <v>3.74366197183099</v>
      </c>
      <c r="L53" s="13" t="n">
        <f aca="false">IFERROR(E53/H53,"")</f>
        <v>332.25</v>
      </c>
      <c r="M53" s="14" t="n">
        <f aca="false">IFERROR(I53/E53,"")</f>
        <v>3.75244544770504</v>
      </c>
      <c r="N53" s="15" t="n">
        <f aca="false">IF(A53="","",A53-WEEKDAY(A53,3))</f>
        <v>46265</v>
      </c>
    </row>
    <row r="54" customFormat="false" ht="15" hidden="false" customHeight="false" outlineLevel="0" collapsed="false">
      <c r="A54" s="8" t="n">
        <v>46268</v>
      </c>
      <c r="B54" s="9" t="s">
        <v>28</v>
      </c>
      <c r="C54" s="9" t="s">
        <v>29</v>
      </c>
      <c r="D54" s="9" t="s">
        <v>30</v>
      </c>
      <c r="E54" s="10" t="n">
        <v>1140</v>
      </c>
      <c r="F54" s="11" t="n">
        <v>5259</v>
      </c>
      <c r="G54" s="11" t="n">
        <v>718</v>
      </c>
      <c r="H54" s="11" t="n">
        <v>5</v>
      </c>
      <c r="I54" s="10" t="n">
        <v>6536</v>
      </c>
      <c r="J54" s="12" t="n">
        <f aca="false">IFERROR(G54/F54,"")</f>
        <v>0.136527857007036</v>
      </c>
      <c r="K54" s="13" t="n">
        <f aca="false">IFERROR(E54/G54,"")</f>
        <v>1.58774373259053</v>
      </c>
      <c r="L54" s="13" t="n">
        <f aca="false">IFERROR(E54/H54,"")</f>
        <v>228</v>
      </c>
      <c r="M54" s="14" t="n">
        <f aca="false">IFERROR(I54/E54,"")</f>
        <v>5.73333333333333</v>
      </c>
      <c r="N54" s="15" t="n">
        <f aca="false">IF(A54="","",A54-WEEKDAY(A54,3))</f>
        <v>46265</v>
      </c>
    </row>
    <row r="55" customFormat="false" ht="15" hidden="false" customHeight="false" outlineLevel="0" collapsed="false">
      <c r="A55" s="8" t="n">
        <v>46268</v>
      </c>
      <c r="B55" s="9" t="s">
        <v>28</v>
      </c>
      <c r="C55" s="9" t="s">
        <v>31</v>
      </c>
      <c r="D55" s="9" t="s">
        <v>32</v>
      </c>
      <c r="E55" s="10" t="n">
        <v>2823</v>
      </c>
      <c r="F55" s="11" t="n">
        <v>82910</v>
      </c>
      <c r="G55" s="11" t="n">
        <v>752</v>
      </c>
      <c r="H55" s="11" t="n">
        <v>8</v>
      </c>
      <c r="I55" s="10" t="n">
        <v>9229</v>
      </c>
      <c r="J55" s="12" t="n">
        <f aca="false">IFERROR(G55/F55,"")</f>
        <v>0.00907007598600893</v>
      </c>
      <c r="K55" s="13" t="n">
        <f aca="false">IFERROR(E55/G55,"")</f>
        <v>3.75398936170213</v>
      </c>
      <c r="L55" s="13" t="n">
        <f aca="false">IFERROR(E55/H55,"")</f>
        <v>352.875</v>
      </c>
      <c r="M55" s="14" t="n">
        <f aca="false">IFERROR(I55/E55,"")</f>
        <v>3.26921714488133</v>
      </c>
      <c r="N55" s="15" t="n">
        <f aca="false">IF(A55="","",A55-WEEKDAY(A55,3))</f>
        <v>46265</v>
      </c>
    </row>
    <row r="56" customFormat="false" ht="15" hidden="false" customHeight="false" outlineLevel="0" collapsed="false">
      <c r="A56" s="8" t="n">
        <v>46268</v>
      </c>
      <c r="B56" s="9" t="s">
        <v>28</v>
      </c>
      <c r="C56" s="9" t="s">
        <v>33</v>
      </c>
      <c r="D56" s="9" t="s">
        <v>30</v>
      </c>
      <c r="E56" s="10" t="n">
        <v>1252</v>
      </c>
      <c r="F56" s="11" t="n">
        <v>9014</v>
      </c>
      <c r="G56" s="11" t="n">
        <v>455</v>
      </c>
      <c r="H56" s="11" t="n">
        <v>4</v>
      </c>
      <c r="I56" s="10" t="n">
        <v>4581</v>
      </c>
      <c r="J56" s="12" t="n">
        <f aca="false">IFERROR(G56/F56,"")</f>
        <v>0.0504770357222099</v>
      </c>
      <c r="K56" s="13" t="n">
        <f aca="false">IFERROR(E56/G56,"")</f>
        <v>2.75164835164835</v>
      </c>
      <c r="L56" s="13" t="n">
        <f aca="false">IFERROR(E56/H56,"")</f>
        <v>313</v>
      </c>
      <c r="M56" s="14" t="n">
        <f aca="false">IFERROR(I56/E56,"")</f>
        <v>3.65894568690096</v>
      </c>
      <c r="N56" s="15" t="n">
        <f aca="false">IF(A56="","",A56-WEEKDAY(A56,3))</f>
        <v>46265</v>
      </c>
    </row>
    <row r="57" customFormat="false" ht="15" hidden="false" customHeight="false" outlineLevel="0" collapsed="false">
      <c r="A57" s="8" t="n">
        <v>46269</v>
      </c>
      <c r="B57" s="9" t="s">
        <v>24</v>
      </c>
      <c r="C57" s="9" t="s">
        <v>25</v>
      </c>
      <c r="D57" s="9" t="s">
        <v>26</v>
      </c>
      <c r="E57" s="10" t="n">
        <v>2576</v>
      </c>
      <c r="F57" s="11" t="n">
        <v>79755</v>
      </c>
      <c r="G57" s="11" t="n">
        <v>878</v>
      </c>
      <c r="H57" s="11" t="n">
        <v>7</v>
      </c>
      <c r="I57" s="10" t="n">
        <v>8205</v>
      </c>
      <c r="J57" s="12" t="n">
        <f aca="false">IFERROR(G57/F57,"")</f>
        <v>0.0110087141871983</v>
      </c>
      <c r="K57" s="13" t="n">
        <f aca="false">IFERROR(E57/G57,"")</f>
        <v>2.93394077448747</v>
      </c>
      <c r="L57" s="13" t="n">
        <f aca="false">IFERROR(E57/H57,"")</f>
        <v>368</v>
      </c>
      <c r="M57" s="14" t="n">
        <f aca="false">IFERROR(I57/E57,"")</f>
        <v>3.18517080745342</v>
      </c>
      <c r="N57" s="15" t="n">
        <f aca="false">IF(A57="","",A57-WEEKDAY(A57,3))</f>
        <v>46265</v>
      </c>
    </row>
    <row r="58" customFormat="false" ht="15" hidden="false" customHeight="false" outlineLevel="0" collapsed="false">
      <c r="A58" s="8" t="n">
        <v>46269</v>
      </c>
      <c r="B58" s="9" t="s">
        <v>24</v>
      </c>
      <c r="C58" s="9" t="s">
        <v>27</v>
      </c>
      <c r="D58" s="9" t="s">
        <v>26</v>
      </c>
      <c r="E58" s="10" t="n">
        <v>1389</v>
      </c>
      <c r="F58" s="11" t="n">
        <v>21140</v>
      </c>
      <c r="G58" s="11" t="n">
        <v>379</v>
      </c>
      <c r="H58" s="11" t="n">
        <v>6</v>
      </c>
      <c r="I58" s="10" t="n">
        <v>7649</v>
      </c>
      <c r="J58" s="12" t="n">
        <f aca="false">IFERROR(G58/F58,"")</f>
        <v>0.0179280983916746</v>
      </c>
      <c r="K58" s="13" t="n">
        <f aca="false">IFERROR(E58/G58,"")</f>
        <v>3.66490765171504</v>
      </c>
      <c r="L58" s="13" t="n">
        <f aca="false">IFERROR(E58/H58,"")</f>
        <v>231.5</v>
      </c>
      <c r="M58" s="14" t="n">
        <f aca="false">IFERROR(I58/E58,"")</f>
        <v>5.50683945284377</v>
      </c>
      <c r="N58" s="15" t="n">
        <f aca="false">IF(A58="","",A58-WEEKDAY(A58,3))</f>
        <v>46265</v>
      </c>
    </row>
    <row r="59" customFormat="false" ht="15" hidden="false" customHeight="false" outlineLevel="0" collapsed="false">
      <c r="A59" s="8" t="n">
        <v>46269</v>
      </c>
      <c r="B59" s="9" t="s">
        <v>28</v>
      </c>
      <c r="C59" s="9" t="s">
        <v>29</v>
      </c>
      <c r="D59" s="9" t="s">
        <v>30</v>
      </c>
      <c r="E59" s="10" t="n">
        <v>1166</v>
      </c>
      <c r="F59" s="11" t="n">
        <v>5660</v>
      </c>
      <c r="G59" s="11" t="n">
        <v>766</v>
      </c>
      <c r="H59" s="11" t="n">
        <v>6</v>
      </c>
      <c r="I59" s="10" t="n">
        <v>8146</v>
      </c>
      <c r="J59" s="12" t="n">
        <f aca="false">IFERROR(G59/F59,"")</f>
        <v>0.135335689045936</v>
      </c>
      <c r="K59" s="13" t="n">
        <f aca="false">IFERROR(E59/G59,"")</f>
        <v>1.52219321148825</v>
      </c>
      <c r="L59" s="13" t="n">
        <f aca="false">IFERROR(E59/H59,"")</f>
        <v>194.333333333333</v>
      </c>
      <c r="M59" s="14" t="n">
        <f aca="false">IFERROR(I59/E59,"")</f>
        <v>6.98627787307033</v>
      </c>
      <c r="N59" s="15" t="n">
        <f aca="false">IF(A59="","",A59-WEEKDAY(A59,3))</f>
        <v>46265</v>
      </c>
    </row>
    <row r="60" customFormat="false" ht="15" hidden="false" customHeight="false" outlineLevel="0" collapsed="false">
      <c r="A60" s="8" t="n">
        <v>46269</v>
      </c>
      <c r="B60" s="9" t="s">
        <v>28</v>
      </c>
      <c r="C60" s="9" t="s">
        <v>31</v>
      </c>
      <c r="D60" s="9" t="s">
        <v>32</v>
      </c>
      <c r="E60" s="10" t="n">
        <v>2847</v>
      </c>
      <c r="F60" s="11" t="n">
        <v>83468</v>
      </c>
      <c r="G60" s="11" t="n">
        <v>711</v>
      </c>
      <c r="H60" s="11" t="n">
        <v>8</v>
      </c>
      <c r="I60" s="10" t="n">
        <v>9036</v>
      </c>
      <c r="J60" s="12" t="n">
        <f aca="false">IFERROR(G60/F60,"")</f>
        <v>0.00851823453299468</v>
      </c>
      <c r="K60" s="13" t="n">
        <f aca="false">IFERROR(E60/G60,"")</f>
        <v>4.0042194092827</v>
      </c>
      <c r="L60" s="13" t="n">
        <f aca="false">IFERROR(E60/H60,"")</f>
        <v>355.875</v>
      </c>
      <c r="M60" s="14" t="n">
        <f aca="false">IFERROR(I60/E60,"")</f>
        <v>3.17386722866175</v>
      </c>
      <c r="N60" s="15" t="n">
        <f aca="false">IF(A60="","",A60-WEEKDAY(A60,3))</f>
        <v>46265</v>
      </c>
    </row>
    <row r="61" customFormat="false" ht="15" hidden="false" customHeight="false" outlineLevel="0" collapsed="false">
      <c r="A61" s="8" t="n">
        <v>46269</v>
      </c>
      <c r="B61" s="9" t="s">
        <v>28</v>
      </c>
      <c r="C61" s="9" t="s">
        <v>33</v>
      </c>
      <c r="D61" s="9" t="s">
        <v>30</v>
      </c>
      <c r="E61" s="10" t="n">
        <v>1150</v>
      </c>
      <c r="F61" s="11" t="n">
        <v>8232</v>
      </c>
      <c r="G61" s="11" t="n">
        <v>421</v>
      </c>
      <c r="H61" s="11" t="n">
        <v>4</v>
      </c>
      <c r="I61" s="10" t="n">
        <v>4575</v>
      </c>
      <c r="J61" s="12" t="n">
        <f aca="false">IFERROR(G61/F61,"")</f>
        <v>0.0511418853255588</v>
      </c>
      <c r="K61" s="13" t="n">
        <f aca="false">IFERROR(E61/G61,"")</f>
        <v>2.73159144893112</v>
      </c>
      <c r="L61" s="13" t="n">
        <f aca="false">IFERROR(E61/H61,"")</f>
        <v>287.5</v>
      </c>
      <c r="M61" s="14" t="n">
        <f aca="false">IFERROR(I61/E61,"")</f>
        <v>3.97826086956522</v>
      </c>
      <c r="N61" s="15" t="n">
        <f aca="false">IF(A61="","",A61-WEEKDAY(A61,3))</f>
        <v>46265</v>
      </c>
    </row>
    <row r="62" customFormat="false" ht="15" hidden="false" customHeight="false" outlineLevel="0" collapsed="false">
      <c r="A62" s="8" t="n">
        <v>46270</v>
      </c>
      <c r="B62" s="9" t="s">
        <v>24</v>
      </c>
      <c r="C62" s="9" t="s">
        <v>25</v>
      </c>
      <c r="D62" s="9" t="s">
        <v>26</v>
      </c>
      <c r="E62" s="10" t="n">
        <v>2456</v>
      </c>
      <c r="F62" s="11" t="n">
        <v>81371</v>
      </c>
      <c r="G62" s="11" t="n">
        <v>915</v>
      </c>
      <c r="H62" s="11" t="n">
        <v>6</v>
      </c>
      <c r="I62" s="10" t="n">
        <v>7164</v>
      </c>
      <c r="J62" s="12" t="n">
        <f aca="false">IFERROR(G62/F62,"")</f>
        <v>0.0112447923707463</v>
      </c>
      <c r="K62" s="13" t="n">
        <f aca="false">IFERROR(E62/G62,"")</f>
        <v>2.68415300546448</v>
      </c>
      <c r="L62" s="13" t="n">
        <f aca="false">IFERROR(E62/H62,"")</f>
        <v>409.333333333333</v>
      </c>
      <c r="M62" s="14" t="n">
        <f aca="false">IFERROR(I62/E62,"")</f>
        <v>2.91693811074919</v>
      </c>
      <c r="N62" s="15" t="n">
        <f aca="false">IF(A62="","",A62-WEEKDAY(A62,3))</f>
        <v>46265</v>
      </c>
    </row>
    <row r="63" customFormat="false" ht="15" hidden="false" customHeight="false" outlineLevel="0" collapsed="false">
      <c r="A63" s="8" t="n">
        <v>46270</v>
      </c>
      <c r="B63" s="9" t="s">
        <v>24</v>
      </c>
      <c r="C63" s="9" t="s">
        <v>27</v>
      </c>
      <c r="D63" s="9" t="s">
        <v>26</v>
      </c>
      <c r="E63" s="10" t="n">
        <v>1505</v>
      </c>
      <c r="F63" s="11" t="n">
        <v>19822</v>
      </c>
      <c r="G63" s="11" t="n">
        <v>379</v>
      </c>
      <c r="H63" s="11" t="n">
        <v>5</v>
      </c>
      <c r="I63" s="10" t="n">
        <v>6242</v>
      </c>
      <c r="J63" s="12" t="n">
        <f aca="false">IFERROR(G63/F63,"")</f>
        <v>0.0191201695086268</v>
      </c>
      <c r="K63" s="13" t="n">
        <f aca="false">IFERROR(E63/G63,"")</f>
        <v>3.97097625329815</v>
      </c>
      <c r="L63" s="13" t="n">
        <f aca="false">IFERROR(E63/H63,"")</f>
        <v>301</v>
      </c>
      <c r="M63" s="14" t="n">
        <f aca="false">IFERROR(I63/E63,"")</f>
        <v>4.14750830564784</v>
      </c>
      <c r="N63" s="15" t="n">
        <f aca="false">IF(A63="","",A63-WEEKDAY(A63,3))</f>
        <v>46265</v>
      </c>
    </row>
    <row r="64" customFormat="false" ht="15" hidden="false" customHeight="false" outlineLevel="0" collapsed="false">
      <c r="A64" s="8" t="n">
        <v>46270</v>
      </c>
      <c r="B64" s="9" t="s">
        <v>28</v>
      </c>
      <c r="C64" s="9" t="s">
        <v>29</v>
      </c>
      <c r="D64" s="9" t="s">
        <v>30</v>
      </c>
      <c r="E64" s="10" t="n">
        <v>1186</v>
      </c>
      <c r="F64" s="11" t="n">
        <v>5546</v>
      </c>
      <c r="G64" s="11" t="n">
        <v>740</v>
      </c>
      <c r="H64" s="11" t="n">
        <v>5</v>
      </c>
      <c r="I64" s="10" t="n">
        <v>6510</v>
      </c>
      <c r="J64" s="12" t="n">
        <f aca="false">IFERROR(G64/F64,"")</f>
        <v>0.133429498737829</v>
      </c>
      <c r="K64" s="13" t="n">
        <f aca="false">IFERROR(E64/G64,"")</f>
        <v>1.6027027027027</v>
      </c>
      <c r="L64" s="13" t="n">
        <f aca="false">IFERROR(E64/H64,"")</f>
        <v>237.2</v>
      </c>
      <c r="M64" s="14" t="n">
        <f aca="false">IFERROR(I64/E64,"")</f>
        <v>5.48903878583474</v>
      </c>
      <c r="N64" s="15" t="n">
        <f aca="false">IF(A64="","",A64-WEEKDAY(A64,3))</f>
        <v>46265</v>
      </c>
    </row>
    <row r="65" customFormat="false" ht="15" hidden="false" customHeight="false" outlineLevel="0" collapsed="false">
      <c r="A65" s="8" t="n">
        <v>46270</v>
      </c>
      <c r="B65" s="9" t="s">
        <v>28</v>
      </c>
      <c r="C65" s="9" t="s">
        <v>31</v>
      </c>
      <c r="D65" s="9" t="s">
        <v>32</v>
      </c>
      <c r="E65" s="10" t="n">
        <v>2630</v>
      </c>
      <c r="F65" s="11" t="n">
        <v>84523</v>
      </c>
      <c r="G65" s="11" t="n">
        <v>741</v>
      </c>
      <c r="H65" s="11" t="n">
        <v>9</v>
      </c>
      <c r="I65" s="10" t="n">
        <v>10110</v>
      </c>
      <c r="J65" s="12" t="n">
        <f aca="false">IFERROR(G65/F65,"")</f>
        <v>0.00876684452752505</v>
      </c>
      <c r="K65" s="13" t="n">
        <f aca="false">IFERROR(E65/G65,"")</f>
        <v>3.54925775978408</v>
      </c>
      <c r="L65" s="13" t="n">
        <f aca="false">IFERROR(E65/H65,"")</f>
        <v>292.222222222222</v>
      </c>
      <c r="M65" s="14" t="n">
        <f aca="false">IFERROR(I65/E65,"")</f>
        <v>3.84410646387833</v>
      </c>
      <c r="N65" s="15" t="n">
        <f aca="false">IF(A65="","",A65-WEEKDAY(A65,3))</f>
        <v>46265</v>
      </c>
    </row>
    <row r="66" customFormat="false" ht="15" hidden="false" customHeight="false" outlineLevel="0" collapsed="false">
      <c r="A66" s="8" t="n">
        <v>46270</v>
      </c>
      <c r="B66" s="9" t="s">
        <v>28</v>
      </c>
      <c r="C66" s="9" t="s">
        <v>33</v>
      </c>
      <c r="D66" s="9" t="s">
        <v>30</v>
      </c>
      <c r="E66" s="10" t="n">
        <v>1210</v>
      </c>
      <c r="F66" s="11" t="n">
        <v>8893</v>
      </c>
      <c r="G66" s="11" t="n">
        <v>415</v>
      </c>
      <c r="H66" s="11" t="n">
        <v>3</v>
      </c>
      <c r="I66" s="10" t="n">
        <v>3341</v>
      </c>
      <c r="J66" s="12" t="n">
        <f aca="false">IFERROR(G66/F66,"")</f>
        <v>0.0466659170133813</v>
      </c>
      <c r="K66" s="13" t="n">
        <f aca="false">IFERROR(E66/G66,"")</f>
        <v>2.91566265060241</v>
      </c>
      <c r="L66" s="13" t="n">
        <f aca="false">IFERROR(E66/H66,"")</f>
        <v>403.333333333333</v>
      </c>
      <c r="M66" s="14" t="n">
        <f aca="false">IFERROR(I66/E66,"")</f>
        <v>2.76115702479339</v>
      </c>
      <c r="N66" s="15" t="n">
        <f aca="false">IF(A66="","",A66-WEEKDAY(A66,3))</f>
        <v>46265</v>
      </c>
    </row>
    <row r="67" customFormat="false" ht="15" hidden="false" customHeight="false" outlineLevel="0" collapsed="false">
      <c r="A67" s="8" t="n">
        <v>46271</v>
      </c>
      <c r="B67" s="9" t="s">
        <v>24</v>
      </c>
      <c r="C67" s="9" t="s">
        <v>25</v>
      </c>
      <c r="D67" s="9" t="s">
        <v>26</v>
      </c>
      <c r="E67" s="10" t="n">
        <v>2605</v>
      </c>
      <c r="F67" s="11" t="n">
        <v>71203</v>
      </c>
      <c r="G67" s="11" t="n">
        <v>836</v>
      </c>
      <c r="H67" s="11" t="n">
        <v>7</v>
      </c>
      <c r="I67" s="10" t="n">
        <v>8430</v>
      </c>
      <c r="J67" s="12" t="n">
        <f aca="false">IFERROR(G67/F67,"")</f>
        <v>0.0117410783253515</v>
      </c>
      <c r="K67" s="13" t="n">
        <f aca="false">IFERROR(E67/G67,"")</f>
        <v>3.11602870813397</v>
      </c>
      <c r="L67" s="13" t="n">
        <f aca="false">IFERROR(E67/H67,"")</f>
        <v>372.142857142857</v>
      </c>
      <c r="M67" s="14" t="n">
        <f aca="false">IFERROR(I67/E67,"")</f>
        <v>3.23608445297505</v>
      </c>
      <c r="N67" s="15" t="n">
        <f aca="false">IF(A67="","",A67-WEEKDAY(A67,3))</f>
        <v>46265</v>
      </c>
    </row>
    <row r="68" customFormat="false" ht="15" hidden="false" customHeight="false" outlineLevel="0" collapsed="false">
      <c r="A68" s="8" t="n">
        <v>46271</v>
      </c>
      <c r="B68" s="9" t="s">
        <v>24</v>
      </c>
      <c r="C68" s="9" t="s">
        <v>27</v>
      </c>
      <c r="D68" s="9" t="s">
        <v>26</v>
      </c>
      <c r="E68" s="10" t="n">
        <v>1311</v>
      </c>
      <c r="F68" s="11" t="n">
        <v>20015</v>
      </c>
      <c r="G68" s="11" t="n">
        <v>337</v>
      </c>
      <c r="H68" s="11" t="n">
        <v>5</v>
      </c>
      <c r="I68" s="10" t="n">
        <v>6107</v>
      </c>
      <c r="J68" s="12" t="n">
        <f aca="false">IFERROR(G68/F68,"")</f>
        <v>0.0168373719710217</v>
      </c>
      <c r="K68" s="13" t="n">
        <f aca="false">IFERROR(E68/G68,"")</f>
        <v>3.89020771513353</v>
      </c>
      <c r="L68" s="13" t="n">
        <f aca="false">IFERROR(E68/H68,"")</f>
        <v>262.2</v>
      </c>
      <c r="M68" s="14" t="n">
        <f aca="false">IFERROR(I68/E68,"")</f>
        <v>4.65827612509535</v>
      </c>
      <c r="N68" s="15" t="n">
        <f aca="false">IF(A68="","",A68-WEEKDAY(A68,3))</f>
        <v>46265</v>
      </c>
    </row>
    <row r="69" customFormat="false" ht="15" hidden="false" customHeight="false" outlineLevel="0" collapsed="false">
      <c r="A69" s="8" t="n">
        <v>46271</v>
      </c>
      <c r="B69" s="9" t="s">
        <v>28</v>
      </c>
      <c r="C69" s="9" t="s">
        <v>29</v>
      </c>
      <c r="D69" s="9" t="s">
        <v>30</v>
      </c>
      <c r="E69" s="10" t="n">
        <v>1035</v>
      </c>
      <c r="F69" s="11" t="n">
        <v>5119</v>
      </c>
      <c r="G69" s="11" t="n">
        <v>758</v>
      </c>
      <c r="H69" s="11" t="n">
        <v>6</v>
      </c>
      <c r="I69" s="10" t="n">
        <v>7612</v>
      </c>
      <c r="J69" s="12" t="n">
        <f aca="false">IFERROR(G69/F69,"")</f>
        <v>0.148075796053917</v>
      </c>
      <c r="K69" s="13" t="n">
        <f aca="false">IFERROR(E69/G69,"")</f>
        <v>1.36543535620053</v>
      </c>
      <c r="L69" s="13" t="n">
        <f aca="false">IFERROR(E69/H69,"")</f>
        <v>172.5</v>
      </c>
      <c r="M69" s="14" t="n">
        <f aca="false">IFERROR(I69/E69,"")</f>
        <v>7.35458937198068</v>
      </c>
      <c r="N69" s="15" t="n">
        <f aca="false">IF(A69="","",A69-WEEKDAY(A69,3))</f>
        <v>46265</v>
      </c>
    </row>
    <row r="70" customFormat="false" ht="15" hidden="false" customHeight="false" outlineLevel="0" collapsed="false">
      <c r="A70" s="8" t="n">
        <v>46271</v>
      </c>
      <c r="B70" s="9" t="s">
        <v>28</v>
      </c>
      <c r="C70" s="9" t="s">
        <v>31</v>
      </c>
      <c r="D70" s="9" t="s">
        <v>32</v>
      </c>
      <c r="E70" s="10" t="n">
        <v>2549</v>
      </c>
      <c r="F70" s="11" t="n">
        <v>97545</v>
      </c>
      <c r="G70" s="11" t="n">
        <v>887</v>
      </c>
      <c r="H70" s="11" t="n">
        <v>10</v>
      </c>
      <c r="I70" s="10" t="n">
        <v>11316</v>
      </c>
      <c r="J70" s="12" t="n">
        <f aca="false">IFERROR(G70/F70,"")</f>
        <v>0.00909323901788918</v>
      </c>
      <c r="K70" s="13" t="n">
        <f aca="false">IFERROR(E70/G70,"")</f>
        <v>2.87373167981962</v>
      </c>
      <c r="L70" s="13" t="n">
        <f aca="false">IFERROR(E70/H70,"")</f>
        <v>254.9</v>
      </c>
      <c r="M70" s="14" t="n">
        <f aca="false">IFERROR(I70/E70,"")</f>
        <v>4.43938799529227</v>
      </c>
      <c r="N70" s="15" t="n">
        <f aca="false">IF(A70="","",A70-WEEKDAY(A70,3))</f>
        <v>46265</v>
      </c>
    </row>
    <row r="71" customFormat="false" ht="15" hidden="false" customHeight="false" outlineLevel="0" collapsed="false">
      <c r="A71" s="8" t="n">
        <v>46271</v>
      </c>
      <c r="B71" s="9" t="s">
        <v>28</v>
      </c>
      <c r="C71" s="9" t="s">
        <v>33</v>
      </c>
      <c r="D71" s="9" t="s">
        <v>30</v>
      </c>
      <c r="E71" s="10" t="n">
        <v>1115</v>
      </c>
      <c r="F71" s="11" t="n">
        <v>9339</v>
      </c>
      <c r="G71" s="11" t="n">
        <v>462</v>
      </c>
      <c r="H71" s="11" t="n">
        <v>3</v>
      </c>
      <c r="I71" s="10" t="n">
        <v>3445</v>
      </c>
      <c r="J71" s="12" t="n">
        <f aca="false">IFERROR(G71/F71,"")</f>
        <v>0.049469964664311</v>
      </c>
      <c r="K71" s="13" t="n">
        <f aca="false">IFERROR(E71/G71,"")</f>
        <v>2.41341991341991</v>
      </c>
      <c r="L71" s="13" t="n">
        <f aca="false">IFERROR(E71/H71,"")</f>
        <v>371.666666666667</v>
      </c>
      <c r="M71" s="14" t="n">
        <f aca="false">IFERROR(I71/E71,"")</f>
        <v>3.08968609865471</v>
      </c>
      <c r="N71" s="15" t="n">
        <f aca="false">IF(A71="","",A71-WEEKDAY(A71,3))</f>
        <v>46265</v>
      </c>
    </row>
    <row r="72" customFormat="false" ht="15" hidden="false" customHeight="false" outlineLevel="0" collapsed="false">
      <c r="A72" s="8" t="n">
        <v>46272</v>
      </c>
      <c r="B72" s="9" t="s">
        <v>24</v>
      </c>
      <c r="C72" s="9" t="s">
        <v>25</v>
      </c>
      <c r="D72" s="9" t="s">
        <v>26</v>
      </c>
      <c r="E72" s="10" t="n">
        <v>2656</v>
      </c>
      <c r="F72" s="11" t="n">
        <v>82705</v>
      </c>
      <c r="G72" s="11" t="n">
        <v>857</v>
      </c>
      <c r="H72" s="11" t="n">
        <v>7</v>
      </c>
      <c r="I72" s="10" t="n">
        <v>7701</v>
      </c>
      <c r="J72" s="12" t="n">
        <f aca="false">IFERROR(G72/F72,"")</f>
        <v>0.0103621304636963</v>
      </c>
      <c r="K72" s="13" t="n">
        <f aca="false">IFERROR(E72/G72,"")</f>
        <v>3.09918319719953</v>
      </c>
      <c r="L72" s="13" t="n">
        <f aca="false">IFERROR(E72/H72,"")</f>
        <v>379.428571428571</v>
      </c>
      <c r="M72" s="14" t="n">
        <f aca="false">IFERROR(I72/E72,"")</f>
        <v>2.89947289156627</v>
      </c>
      <c r="N72" s="15" t="n">
        <f aca="false">IF(A72="","",A72-WEEKDAY(A72,3))</f>
        <v>46272</v>
      </c>
    </row>
    <row r="73" customFormat="false" ht="15" hidden="false" customHeight="false" outlineLevel="0" collapsed="false">
      <c r="A73" s="8" t="n">
        <v>46272</v>
      </c>
      <c r="B73" s="9" t="s">
        <v>24</v>
      </c>
      <c r="C73" s="9" t="s">
        <v>27</v>
      </c>
      <c r="D73" s="9" t="s">
        <v>26</v>
      </c>
      <c r="E73" s="10" t="n">
        <v>1481</v>
      </c>
      <c r="F73" s="11" t="n">
        <v>20806</v>
      </c>
      <c r="G73" s="11" t="n">
        <v>366</v>
      </c>
      <c r="H73" s="11" t="n">
        <v>5</v>
      </c>
      <c r="I73" s="10" t="n">
        <v>6517</v>
      </c>
      <c r="J73" s="12" t="n">
        <f aca="false">IFERROR(G73/F73,"")</f>
        <v>0.0175910794962991</v>
      </c>
      <c r="K73" s="13" t="n">
        <f aca="false">IFERROR(E73/G73,"")</f>
        <v>4.04644808743169</v>
      </c>
      <c r="L73" s="13" t="n">
        <f aca="false">IFERROR(E73/H73,"")</f>
        <v>296.2</v>
      </c>
      <c r="M73" s="14" t="n">
        <f aca="false">IFERROR(I73/E73,"")</f>
        <v>4.40040513166779</v>
      </c>
      <c r="N73" s="15" t="n">
        <f aca="false">IF(A73="","",A73-WEEKDAY(A73,3))</f>
        <v>46272</v>
      </c>
    </row>
    <row r="74" customFormat="false" ht="15" hidden="false" customHeight="false" outlineLevel="0" collapsed="false">
      <c r="A74" s="8" t="n">
        <v>46272</v>
      </c>
      <c r="B74" s="9" t="s">
        <v>28</v>
      </c>
      <c r="C74" s="9" t="s">
        <v>29</v>
      </c>
      <c r="D74" s="9" t="s">
        <v>30</v>
      </c>
      <c r="E74" s="10" t="n">
        <v>1059</v>
      </c>
      <c r="F74" s="11" t="n">
        <v>4814</v>
      </c>
      <c r="G74" s="11" t="n">
        <v>677</v>
      </c>
      <c r="H74" s="11" t="n">
        <v>5</v>
      </c>
      <c r="I74" s="10" t="n">
        <v>6246</v>
      </c>
      <c r="J74" s="12" t="n">
        <f aca="false">IFERROR(G74/F74,"")</f>
        <v>0.140631491483174</v>
      </c>
      <c r="K74" s="13" t="n">
        <f aca="false">IFERROR(E74/G74,"")</f>
        <v>1.5642540620384</v>
      </c>
      <c r="L74" s="13" t="n">
        <f aca="false">IFERROR(E74/H74,"")</f>
        <v>211.8</v>
      </c>
      <c r="M74" s="14" t="n">
        <f aca="false">IFERROR(I74/E74,"")</f>
        <v>5.89801699716714</v>
      </c>
      <c r="N74" s="15" t="n">
        <f aca="false">IF(A74="","",A74-WEEKDAY(A74,3))</f>
        <v>46272</v>
      </c>
    </row>
    <row r="75" customFormat="false" ht="15" hidden="false" customHeight="false" outlineLevel="0" collapsed="false">
      <c r="A75" s="8" t="n">
        <v>46272</v>
      </c>
      <c r="B75" s="9" t="s">
        <v>28</v>
      </c>
      <c r="C75" s="9" t="s">
        <v>31</v>
      </c>
      <c r="D75" s="9" t="s">
        <v>32</v>
      </c>
      <c r="E75" s="10" t="n">
        <v>2554</v>
      </c>
      <c r="F75" s="11" t="n">
        <v>81907</v>
      </c>
      <c r="G75" s="11" t="n">
        <v>706</v>
      </c>
      <c r="H75" s="11" t="n">
        <v>7</v>
      </c>
      <c r="I75" s="10" t="n">
        <v>8099</v>
      </c>
      <c r="J75" s="12" t="n">
        <f aca="false">IFERROR(G75/F75,"")</f>
        <v>0.00861953190813972</v>
      </c>
      <c r="K75" s="13" t="n">
        <f aca="false">IFERROR(E75/G75,"")</f>
        <v>3.61756373937677</v>
      </c>
      <c r="L75" s="13" t="n">
        <f aca="false">IFERROR(E75/H75,"")</f>
        <v>364.857142857143</v>
      </c>
      <c r="M75" s="14" t="n">
        <f aca="false">IFERROR(I75/E75,"")</f>
        <v>3.17110415035239</v>
      </c>
      <c r="N75" s="15" t="n">
        <f aca="false">IF(A75="","",A75-WEEKDAY(A75,3))</f>
        <v>46272</v>
      </c>
    </row>
    <row r="76" customFormat="false" ht="15" hidden="false" customHeight="false" outlineLevel="0" collapsed="false">
      <c r="A76" s="8" t="n">
        <v>46272</v>
      </c>
      <c r="B76" s="9" t="s">
        <v>28</v>
      </c>
      <c r="C76" s="9" t="s">
        <v>33</v>
      </c>
      <c r="D76" s="9" t="s">
        <v>30</v>
      </c>
      <c r="E76" s="10" t="n">
        <v>1250</v>
      </c>
      <c r="F76" s="11" t="n">
        <v>8622</v>
      </c>
      <c r="G76" s="11" t="n">
        <v>431</v>
      </c>
      <c r="H76" s="11" t="n">
        <v>3</v>
      </c>
      <c r="I76" s="10" t="n">
        <v>3250</v>
      </c>
      <c r="J76" s="12" t="n">
        <f aca="false">IFERROR(G76/F76,"")</f>
        <v>0.049988401762932</v>
      </c>
      <c r="K76" s="13" t="n">
        <f aca="false">IFERROR(E76/G76,"")</f>
        <v>2.90023201856148</v>
      </c>
      <c r="L76" s="13" t="n">
        <f aca="false">IFERROR(E76/H76,"")</f>
        <v>416.666666666667</v>
      </c>
      <c r="M76" s="14" t="n">
        <f aca="false">IFERROR(I76/E76,"")</f>
        <v>2.6</v>
      </c>
      <c r="N76" s="15" t="n">
        <f aca="false">IF(A76="","",A76-WEEKDAY(A76,3))</f>
        <v>46272</v>
      </c>
    </row>
    <row r="77" customFormat="false" ht="15" hidden="false" customHeight="false" outlineLevel="0" collapsed="false">
      <c r="A77" s="8" t="n">
        <v>46273</v>
      </c>
      <c r="B77" s="9" t="s">
        <v>24</v>
      </c>
      <c r="C77" s="9" t="s">
        <v>25</v>
      </c>
      <c r="D77" s="9" t="s">
        <v>26</v>
      </c>
      <c r="E77" s="10" t="n">
        <v>2400</v>
      </c>
      <c r="F77" s="11" t="n">
        <v>74107</v>
      </c>
      <c r="G77" s="11" t="n">
        <v>760</v>
      </c>
      <c r="H77" s="11" t="n">
        <v>6</v>
      </c>
      <c r="I77" s="10" t="n">
        <v>6935</v>
      </c>
      <c r="J77" s="12" t="n">
        <f aca="false">IFERROR(G77/F77,"")</f>
        <v>0.0102554414562727</v>
      </c>
      <c r="K77" s="13" t="n">
        <f aca="false">IFERROR(E77/G77,"")</f>
        <v>3.15789473684211</v>
      </c>
      <c r="L77" s="13" t="n">
        <f aca="false">IFERROR(E77/H77,"")</f>
        <v>400</v>
      </c>
      <c r="M77" s="14" t="n">
        <f aca="false">IFERROR(I77/E77,"")</f>
        <v>2.88958333333333</v>
      </c>
      <c r="N77" s="15" t="n">
        <f aca="false">IF(A77="","",A77-WEEKDAY(A77,3))</f>
        <v>46272</v>
      </c>
    </row>
    <row r="78" customFormat="false" ht="15" hidden="false" customHeight="false" outlineLevel="0" collapsed="false">
      <c r="A78" s="8" t="n">
        <v>46273</v>
      </c>
      <c r="B78" s="9" t="s">
        <v>24</v>
      </c>
      <c r="C78" s="9" t="s">
        <v>27</v>
      </c>
      <c r="D78" s="9" t="s">
        <v>26</v>
      </c>
      <c r="E78" s="10" t="n">
        <v>1330</v>
      </c>
      <c r="F78" s="11" t="n">
        <v>20894</v>
      </c>
      <c r="G78" s="11" t="n">
        <v>399</v>
      </c>
      <c r="H78" s="11" t="n">
        <v>5</v>
      </c>
      <c r="I78" s="10" t="n">
        <v>6449</v>
      </c>
      <c r="J78" s="12" t="n">
        <f aca="false">IFERROR(G78/F78,"")</f>
        <v>0.0190963913085096</v>
      </c>
      <c r="K78" s="13" t="n">
        <f aca="false">IFERROR(E78/G78,"")</f>
        <v>3.33333333333333</v>
      </c>
      <c r="L78" s="13" t="n">
        <f aca="false">IFERROR(E78/H78,"")</f>
        <v>266</v>
      </c>
      <c r="M78" s="14" t="n">
        <f aca="false">IFERROR(I78/E78,"")</f>
        <v>4.84887218045113</v>
      </c>
      <c r="N78" s="15" t="n">
        <f aca="false">IF(A78="","",A78-WEEKDAY(A78,3))</f>
        <v>46272</v>
      </c>
    </row>
    <row r="79" customFormat="false" ht="15" hidden="false" customHeight="false" outlineLevel="0" collapsed="false">
      <c r="A79" s="8" t="n">
        <v>46273</v>
      </c>
      <c r="B79" s="9" t="s">
        <v>28</v>
      </c>
      <c r="C79" s="9" t="s">
        <v>29</v>
      </c>
      <c r="D79" s="9" t="s">
        <v>30</v>
      </c>
      <c r="E79" s="10" t="n">
        <v>1088</v>
      </c>
      <c r="F79" s="11" t="n">
        <v>5195</v>
      </c>
      <c r="G79" s="11" t="n">
        <v>761</v>
      </c>
      <c r="H79" s="11" t="n">
        <v>6</v>
      </c>
      <c r="I79" s="10" t="n">
        <v>7805</v>
      </c>
      <c r="J79" s="12" t="n">
        <f aca="false">IFERROR(G79/F79,"")</f>
        <v>0.146487006737247</v>
      </c>
      <c r="K79" s="13" t="n">
        <f aca="false">IFERROR(E79/G79,"")</f>
        <v>1.42969776609724</v>
      </c>
      <c r="L79" s="13" t="n">
        <f aca="false">IFERROR(E79/H79,"")</f>
        <v>181.333333333333</v>
      </c>
      <c r="M79" s="14" t="n">
        <f aca="false">IFERROR(I79/E79,"")</f>
        <v>7.17371323529412</v>
      </c>
      <c r="N79" s="15" t="n">
        <f aca="false">IF(A79="","",A79-WEEKDAY(A79,3))</f>
        <v>46272</v>
      </c>
    </row>
    <row r="80" customFormat="false" ht="15" hidden="false" customHeight="false" outlineLevel="0" collapsed="false">
      <c r="A80" s="8" t="n">
        <v>46273</v>
      </c>
      <c r="B80" s="9" t="s">
        <v>28</v>
      </c>
      <c r="C80" s="9" t="s">
        <v>31</v>
      </c>
      <c r="D80" s="9" t="s">
        <v>32</v>
      </c>
      <c r="E80" s="10" t="n">
        <v>2781</v>
      </c>
      <c r="F80" s="11" t="n">
        <v>98684</v>
      </c>
      <c r="G80" s="11" t="n">
        <v>869</v>
      </c>
      <c r="H80" s="11" t="n">
        <v>11</v>
      </c>
      <c r="I80" s="10" t="n">
        <v>13248</v>
      </c>
      <c r="J80" s="12" t="n">
        <f aca="false">IFERROR(G80/F80,"")</f>
        <v>0.00880588545255563</v>
      </c>
      <c r="K80" s="13" t="n">
        <f aca="false">IFERROR(E80/G80,"")</f>
        <v>3.20023014959724</v>
      </c>
      <c r="L80" s="13" t="n">
        <f aca="false">IFERROR(E80/H80,"")</f>
        <v>252.818181818182</v>
      </c>
      <c r="M80" s="14" t="n">
        <f aca="false">IFERROR(I80/E80,"")</f>
        <v>4.76375404530744</v>
      </c>
      <c r="N80" s="15" t="n">
        <f aca="false">IF(A80="","",A80-WEEKDAY(A80,3))</f>
        <v>46272</v>
      </c>
    </row>
    <row r="81" customFormat="false" ht="15" hidden="false" customHeight="false" outlineLevel="0" collapsed="false">
      <c r="A81" s="8" t="n">
        <v>46273</v>
      </c>
      <c r="B81" s="9" t="s">
        <v>28</v>
      </c>
      <c r="C81" s="9" t="s">
        <v>33</v>
      </c>
      <c r="D81" s="9" t="s">
        <v>30</v>
      </c>
      <c r="E81" s="10" t="n">
        <v>1226</v>
      </c>
      <c r="F81" s="11" t="n">
        <v>8828</v>
      </c>
      <c r="G81" s="11" t="n">
        <v>432</v>
      </c>
      <c r="H81" s="11" t="n">
        <v>3</v>
      </c>
      <c r="I81" s="10" t="n">
        <v>3178</v>
      </c>
      <c r="J81" s="12" t="n">
        <f aca="false">IFERROR(G81/F81,"")</f>
        <v>0.0489352061622112</v>
      </c>
      <c r="K81" s="13" t="n">
        <f aca="false">IFERROR(E81/G81,"")</f>
        <v>2.83796296296296</v>
      </c>
      <c r="L81" s="13" t="n">
        <f aca="false">IFERROR(E81/H81,"")</f>
        <v>408.666666666667</v>
      </c>
      <c r="M81" s="14" t="n">
        <f aca="false">IFERROR(I81/E81,"")</f>
        <v>2.59216965742251</v>
      </c>
      <c r="N81" s="15" t="n">
        <f aca="false">IF(A81="","",A81-WEEKDAY(A81,3))</f>
        <v>46272</v>
      </c>
    </row>
    <row r="82" customFormat="false" ht="15" hidden="false" customHeight="false" outlineLevel="0" collapsed="false">
      <c r="A82" s="8" t="n">
        <v>46274</v>
      </c>
      <c r="B82" s="9" t="s">
        <v>24</v>
      </c>
      <c r="C82" s="9" t="s">
        <v>25</v>
      </c>
      <c r="D82" s="9" t="s">
        <v>26</v>
      </c>
      <c r="E82" s="10" t="n">
        <v>2421</v>
      </c>
      <c r="F82" s="11" t="n">
        <v>81758</v>
      </c>
      <c r="G82" s="11" t="n">
        <v>869</v>
      </c>
      <c r="H82" s="11" t="n">
        <v>6</v>
      </c>
      <c r="I82" s="10" t="n">
        <v>6613</v>
      </c>
      <c r="J82" s="12" t="n">
        <f aca="false">IFERROR(G82/F82,"")</f>
        <v>0.010628929279092</v>
      </c>
      <c r="K82" s="13" t="n">
        <f aca="false">IFERROR(E82/G82,"")</f>
        <v>2.78596087456847</v>
      </c>
      <c r="L82" s="13" t="n">
        <f aca="false">IFERROR(E82/H82,"")</f>
        <v>403.5</v>
      </c>
      <c r="M82" s="14" t="n">
        <f aca="false">IFERROR(I82/E82,"")</f>
        <v>2.73151590251962</v>
      </c>
      <c r="N82" s="15" t="n">
        <f aca="false">IF(A82="","",A82-WEEKDAY(A82,3))</f>
        <v>46272</v>
      </c>
    </row>
    <row r="83" customFormat="false" ht="15" hidden="false" customHeight="false" outlineLevel="0" collapsed="false">
      <c r="A83" s="8" t="n">
        <v>46274</v>
      </c>
      <c r="B83" s="9" t="s">
        <v>24</v>
      </c>
      <c r="C83" s="9" t="s">
        <v>27</v>
      </c>
      <c r="D83" s="9" t="s">
        <v>26</v>
      </c>
      <c r="E83" s="10" t="n">
        <v>1476</v>
      </c>
      <c r="F83" s="11" t="n">
        <v>22556</v>
      </c>
      <c r="G83" s="11" t="n">
        <v>416</v>
      </c>
      <c r="H83" s="11" t="n">
        <v>5</v>
      </c>
      <c r="I83" s="10" t="n">
        <v>6089</v>
      </c>
      <c r="J83" s="12" t="n">
        <f aca="false">IFERROR(G83/F83,"")</f>
        <v>0.0184429863450966</v>
      </c>
      <c r="K83" s="13" t="n">
        <f aca="false">IFERROR(E83/G83,"")</f>
        <v>3.54807692307692</v>
      </c>
      <c r="L83" s="13" t="n">
        <f aca="false">IFERROR(E83/H83,"")</f>
        <v>295.2</v>
      </c>
      <c r="M83" s="14" t="n">
        <f aca="false">IFERROR(I83/E83,"")</f>
        <v>4.12533875338753</v>
      </c>
      <c r="N83" s="15" t="n">
        <f aca="false">IF(A83="","",A83-WEEKDAY(A83,3))</f>
        <v>46272</v>
      </c>
    </row>
    <row r="84" customFormat="false" ht="15" hidden="false" customHeight="false" outlineLevel="0" collapsed="false">
      <c r="A84" s="8" t="n">
        <v>46274</v>
      </c>
      <c r="B84" s="9" t="s">
        <v>28</v>
      </c>
      <c r="C84" s="9" t="s">
        <v>29</v>
      </c>
      <c r="D84" s="9" t="s">
        <v>30</v>
      </c>
      <c r="E84" s="10" t="n">
        <v>1064</v>
      </c>
      <c r="F84" s="11" t="n">
        <v>5158</v>
      </c>
      <c r="G84" s="11" t="n">
        <v>687</v>
      </c>
      <c r="H84" s="11" t="n">
        <v>5</v>
      </c>
      <c r="I84" s="10" t="n">
        <v>6346</v>
      </c>
      <c r="J84" s="12" t="n">
        <f aca="false">IFERROR(G84/F84,"")</f>
        <v>0.133191159364095</v>
      </c>
      <c r="K84" s="13" t="n">
        <f aca="false">IFERROR(E84/G84,"")</f>
        <v>1.54876273653566</v>
      </c>
      <c r="L84" s="13" t="n">
        <f aca="false">IFERROR(E84/H84,"")</f>
        <v>212.8</v>
      </c>
      <c r="M84" s="14" t="n">
        <f aca="false">IFERROR(I84/E84,"")</f>
        <v>5.96428571428571</v>
      </c>
      <c r="N84" s="15" t="n">
        <f aca="false">IF(A84="","",A84-WEEKDAY(A84,3))</f>
        <v>46272</v>
      </c>
    </row>
    <row r="85" customFormat="false" ht="15" hidden="false" customHeight="false" outlineLevel="0" collapsed="false">
      <c r="A85" s="8" t="n">
        <v>46274</v>
      </c>
      <c r="B85" s="9" t="s">
        <v>28</v>
      </c>
      <c r="C85" s="9" t="s">
        <v>31</v>
      </c>
      <c r="D85" s="9" t="s">
        <v>32</v>
      </c>
      <c r="E85" s="10" t="n">
        <v>2899</v>
      </c>
      <c r="F85" s="11" t="n">
        <v>98507</v>
      </c>
      <c r="G85" s="11" t="n">
        <v>892</v>
      </c>
      <c r="H85" s="11" t="n">
        <v>9</v>
      </c>
      <c r="I85" s="10" t="n">
        <v>11115</v>
      </c>
      <c r="J85" s="12" t="n">
        <f aca="false">IFERROR(G85/F85,"")</f>
        <v>0.00905519404712355</v>
      </c>
      <c r="K85" s="13" t="n">
        <f aca="false">IFERROR(E85/G85,"")</f>
        <v>3.25</v>
      </c>
      <c r="L85" s="13" t="n">
        <f aca="false">IFERROR(E85/H85,"")</f>
        <v>322.111111111111</v>
      </c>
      <c r="M85" s="14" t="n">
        <f aca="false">IFERROR(I85/E85,"")</f>
        <v>3.83408071748879</v>
      </c>
      <c r="N85" s="15" t="n">
        <f aca="false">IF(A85="","",A85-WEEKDAY(A85,3))</f>
        <v>46272</v>
      </c>
    </row>
    <row r="86" customFormat="false" ht="15" hidden="false" customHeight="false" outlineLevel="0" collapsed="false">
      <c r="A86" s="8" t="n">
        <v>46274</v>
      </c>
      <c r="B86" s="9" t="s">
        <v>28</v>
      </c>
      <c r="C86" s="9" t="s">
        <v>33</v>
      </c>
      <c r="D86" s="9" t="s">
        <v>30</v>
      </c>
      <c r="E86" s="10" t="n">
        <v>1163</v>
      </c>
      <c r="F86" s="11" t="n">
        <v>8742</v>
      </c>
      <c r="G86" s="11" t="n">
        <v>407</v>
      </c>
      <c r="H86" s="11" t="n">
        <v>3</v>
      </c>
      <c r="I86" s="10" t="n">
        <v>3292</v>
      </c>
      <c r="J86" s="12" t="n">
        <f aca="false">IFERROR(G86/F86,"")</f>
        <v>0.0465568519789522</v>
      </c>
      <c r="K86" s="13" t="n">
        <f aca="false">IFERROR(E86/G86,"")</f>
        <v>2.85749385749386</v>
      </c>
      <c r="L86" s="13" t="n">
        <f aca="false">IFERROR(E86/H86,"")</f>
        <v>387.666666666667</v>
      </c>
      <c r="M86" s="14" t="n">
        <f aca="false">IFERROR(I86/E86,"")</f>
        <v>2.83061049011178</v>
      </c>
      <c r="N86" s="15" t="n">
        <f aca="false">IF(A86="","",A86-WEEKDAY(A86,3))</f>
        <v>46272</v>
      </c>
    </row>
    <row r="87" customFormat="false" ht="15" hidden="false" customHeight="false" outlineLevel="0" collapsed="false">
      <c r="A87" s="8" t="n">
        <v>46275</v>
      </c>
      <c r="B87" s="9" t="s">
        <v>24</v>
      </c>
      <c r="C87" s="9" t="s">
        <v>25</v>
      </c>
      <c r="D87" s="9" t="s">
        <v>26</v>
      </c>
      <c r="E87" s="10" t="n">
        <v>2601</v>
      </c>
      <c r="F87" s="11" t="n">
        <v>73335</v>
      </c>
      <c r="G87" s="11" t="n">
        <v>807</v>
      </c>
      <c r="H87" s="11" t="n">
        <v>5</v>
      </c>
      <c r="I87" s="10" t="n">
        <v>5614</v>
      </c>
      <c r="J87" s="12" t="n">
        <f aca="false">IFERROR(G87/F87,"")</f>
        <v>0.0110042953569237</v>
      </c>
      <c r="K87" s="13" t="n">
        <f aca="false">IFERROR(E87/G87,"")</f>
        <v>3.22304832713755</v>
      </c>
      <c r="L87" s="13" t="n">
        <f aca="false">IFERROR(E87/H87,"")</f>
        <v>520.2</v>
      </c>
      <c r="M87" s="14" t="n">
        <f aca="false">IFERROR(I87/E87,"")</f>
        <v>2.15840061514802</v>
      </c>
      <c r="N87" s="15" t="n">
        <f aca="false">IF(A87="","",A87-WEEKDAY(A87,3))</f>
        <v>46272</v>
      </c>
    </row>
    <row r="88" customFormat="false" ht="15" hidden="false" customHeight="false" outlineLevel="0" collapsed="false">
      <c r="A88" s="8" t="n">
        <v>46275</v>
      </c>
      <c r="B88" s="9" t="s">
        <v>24</v>
      </c>
      <c r="C88" s="9" t="s">
        <v>27</v>
      </c>
      <c r="D88" s="9" t="s">
        <v>26</v>
      </c>
      <c r="E88" s="10" t="n">
        <v>1308</v>
      </c>
      <c r="F88" s="11" t="n">
        <v>20578</v>
      </c>
      <c r="G88" s="11" t="n">
        <v>347</v>
      </c>
      <c r="H88" s="11" t="n">
        <v>4</v>
      </c>
      <c r="I88" s="10" t="n">
        <v>4902</v>
      </c>
      <c r="J88" s="12" t="n">
        <f aca="false">IFERROR(G88/F88,"")</f>
        <v>0.0168626688696666</v>
      </c>
      <c r="K88" s="13" t="n">
        <f aca="false">IFERROR(E88/G88,"")</f>
        <v>3.76945244956772</v>
      </c>
      <c r="L88" s="13" t="n">
        <f aca="false">IFERROR(E88/H88,"")</f>
        <v>327</v>
      </c>
      <c r="M88" s="14" t="n">
        <f aca="false">IFERROR(I88/E88,"")</f>
        <v>3.74770642201835</v>
      </c>
      <c r="N88" s="15" t="n">
        <f aca="false">IF(A88="","",A88-WEEKDAY(A88,3))</f>
        <v>46272</v>
      </c>
    </row>
    <row r="89" customFormat="false" ht="15" hidden="false" customHeight="false" outlineLevel="0" collapsed="false">
      <c r="A89" s="8" t="n">
        <v>46275</v>
      </c>
      <c r="B89" s="9" t="s">
        <v>28</v>
      </c>
      <c r="C89" s="9" t="s">
        <v>29</v>
      </c>
      <c r="D89" s="9" t="s">
        <v>30</v>
      </c>
      <c r="E89" s="10" t="n">
        <v>1053</v>
      </c>
      <c r="F89" s="11" t="n">
        <v>5289</v>
      </c>
      <c r="G89" s="11" t="n">
        <v>743</v>
      </c>
      <c r="H89" s="11" t="n">
        <v>6</v>
      </c>
      <c r="I89" s="10" t="n">
        <v>7923</v>
      </c>
      <c r="J89" s="12" t="n">
        <f aca="false">IFERROR(G89/F89,"")</f>
        <v>0.140480242011722</v>
      </c>
      <c r="K89" s="13" t="n">
        <f aca="false">IFERROR(E89/G89,"")</f>
        <v>1.41722745625841</v>
      </c>
      <c r="L89" s="13" t="n">
        <f aca="false">IFERROR(E89/H89,"")</f>
        <v>175.5</v>
      </c>
      <c r="M89" s="14" t="n">
        <f aca="false">IFERROR(I89/E89,"")</f>
        <v>7.52421652421652</v>
      </c>
      <c r="N89" s="15" t="n">
        <f aca="false">IF(A89="","",A89-WEEKDAY(A89,3))</f>
        <v>46272</v>
      </c>
    </row>
    <row r="90" customFormat="false" ht="15" hidden="false" customHeight="false" outlineLevel="0" collapsed="false">
      <c r="A90" s="8" t="n">
        <v>46275</v>
      </c>
      <c r="B90" s="9" t="s">
        <v>28</v>
      </c>
      <c r="C90" s="9" t="s">
        <v>31</v>
      </c>
      <c r="D90" s="9" t="s">
        <v>32</v>
      </c>
      <c r="E90" s="10" t="n">
        <v>2793</v>
      </c>
      <c r="F90" s="11" t="n">
        <v>96824</v>
      </c>
      <c r="G90" s="11" t="n">
        <v>858</v>
      </c>
      <c r="H90" s="11" t="n">
        <v>9</v>
      </c>
      <c r="I90" s="10" t="n">
        <v>11135</v>
      </c>
      <c r="J90" s="12" t="n">
        <f aca="false">IFERROR(G90/F90,"")</f>
        <v>0.00886143931256713</v>
      </c>
      <c r="K90" s="13" t="n">
        <f aca="false">IFERROR(E90/G90,"")</f>
        <v>3.25524475524476</v>
      </c>
      <c r="L90" s="13" t="n">
        <f aca="false">IFERROR(E90/H90,"")</f>
        <v>310.333333333333</v>
      </c>
      <c r="M90" s="14" t="n">
        <f aca="false">IFERROR(I90/E90,"")</f>
        <v>3.98675259577515</v>
      </c>
      <c r="N90" s="15" t="n">
        <f aca="false">IF(A90="","",A90-WEEKDAY(A90,3))</f>
        <v>46272</v>
      </c>
    </row>
    <row r="91" customFormat="false" ht="15" hidden="false" customHeight="false" outlineLevel="0" collapsed="false">
      <c r="A91" s="8" t="n">
        <v>46275</v>
      </c>
      <c r="B91" s="9" t="s">
        <v>28</v>
      </c>
      <c r="C91" s="9" t="s">
        <v>33</v>
      </c>
      <c r="D91" s="9" t="s">
        <v>30</v>
      </c>
      <c r="E91" s="10" t="n">
        <v>1133</v>
      </c>
      <c r="F91" s="11" t="n">
        <v>9403</v>
      </c>
      <c r="G91" s="11" t="n">
        <v>480</v>
      </c>
      <c r="H91" s="11" t="n">
        <v>3</v>
      </c>
      <c r="I91" s="10" t="n">
        <v>3411</v>
      </c>
      <c r="J91" s="12" t="n">
        <f aca="false">IFERROR(G91/F91,"")</f>
        <v>0.0510475380197809</v>
      </c>
      <c r="K91" s="13" t="n">
        <f aca="false">IFERROR(E91/G91,"")</f>
        <v>2.36041666666667</v>
      </c>
      <c r="L91" s="13" t="n">
        <f aca="false">IFERROR(E91/H91,"")</f>
        <v>377.666666666667</v>
      </c>
      <c r="M91" s="14" t="n">
        <f aca="false">IFERROR(I91/E91,"")</f>
        <v>3.01059135039718</v>
      </c>
      <c r="N91" s="15" t="n">
        <f aca="false">IF(A91="","",A91-WEEKDAY(A91,3))</f>
        <v>46272</v>
      </c>
    </row>
    <row r="92" customFormat="false" ht="15" hidden="false" customHeight="false" outlineLevel="0" collapsed="false">
      <c r="A92" s="8" t="n">
        <v>46276</v>
      </c>
      <c r="B92" s="9" t="s">
        <v>24</v>
      </c>
      <c r="C92" s="9" t="s">
        <v>25</v>
      </c>
      <c r="D92" s="9" t="s">
        <v>26</v>
      </c>
      <c r="E92" s="10" t="n">
        <v>2763</v>
      </c>
      <c r="F92" s="11" t="n">
        <v>79986</v>
      </c>
      <c r="G92" s="11" t="n">
        <v>909</v>
      </c>
      <c r="H92" s="11" t="n">
        <v>7</v>
      </c>
      <c r="I92" s="10" t="n">
        <v>7760</v>
      </c>
      <c r="J92" s="12" t="n">
        <f aca="false">IFERROR(G92/F92,"")</f>
        <v>0.0113644887855375</v>
      </c>
      <c r="K92" s="13" t="n">
        <f aca="false">IFERROR(E92/G92,"")</f>
        <v>3.03960396039604</v>
      </c>
      <c r="L92" s="13" t="n">
        <f aca="false">IFERROR(E92/H92,"")</f>
        <v>394.714285714286</v>
      </c>
      <c r="M92" s="14" t="n">
        <f aca="false">IFERROR(I92/E92,"")</f>
        <v>2.80854144046326</v>
      </c>
      <c r="N92" s="15" t="n">
        <f aca="false">IF(A92="","",A92-WEEKDAY(A92,3))</f>
        <v>46272</v>
      </c>
    </row>
    <row r="93" customFormat="false" ht="15" hidden="false" customHeight="false" outlineLevel="0" collapsed="false">
      <c r="A93" s="8" t="n">
        <v>46276</v>
      </c>
      <c r="B93" s="9" t="s">
        <v>24</v>
      </c>
      <c r="C93" s="9" t="s">
        <v>27</v>
      </c>
      <c r="D93" s="9" t="s">
        <v>26</v>
      </c>
      <c r="E93" s="10" t="n">
        <v>1405</v>
      </c>
      <c r="F93" s="11" t="n">
        <v>21018</v>
      </c>
      <c r="G93" s="11" t="n">
        <v>396</v>
      </c>
      <c r="H93" s="11" t="n">
        <v>6</v>
      </c>
      <c r="I93" s="10" t="n">
        <v>7745</v>
      </c>
      <c r="J93" s="12" t="n">
        <f aca="false">IFERROR(G93/F93,"")</f>
        <v>0.0188409934341993</v>
      </c>
      <c r="K93" s="13" t="n">
        <f aca="false">IFERROR(E93/G93,"")</f>
        <v>3.5479797979798</v>
      </c>
      <c r="L93" s="13" t="n">
        <f aca="false">IFERROR(E93/H93,"")</f>
        <v>234.166666666667</v>
      </c>
      <c r="M93" s="14" t="n">
        <f aca="false">IFERROR(I93/E93,"")</f>
        <v>5.51245551601424</v>
      </c>
      <c r="N93" s="15" t="n">
        <f aca="false">IF(A93="","",A93-WEEKDAY(A93,3))</f>
        <v>46272</v>
      </c>
    </row>
    <row r="94" customFormat="false" ht="15" hidden="false" customHeight="false" outlineLevel="0" collapsed="false">
      <c r="A94" s="8" t="n">
        <v>46276</v>
      </c>
      <c r="B94" s="9" t="s">
        <v>28</v>
      </c>
      <c r="C94" s="9" t="s">
        <v>29</v>
      </c>
      <c r="D94" s="9" t="s">
        <v>30</v>
      </c>
      <c r="E94" s="10" t="n">
        <v>1115</v>
      </c>
      <c r="F94" s="11" t="n">
        <v>5609</v>
      </c>
      <c r="G94" s="11" t="n">
        <v>805</v>
      </c>
      <c r="H94" s="11" t="n">
        <v>6</v>
      </c>
      <c r="I94" s="10" t="n">
        <v>7589</v>
      </c>
      <c r="J94" s="12" t="n">
        <f aca="false">IFERROR(G94/F94,"")</f>
        <v>0.143519343911571</v>
      </c>
      <c r="K94" s="13" t="n">
        <f aca="false">IFERROR(E94/G94,"")</f>
        <v>1.38509316770186</v>
      </c>
      <c r="L94" s="13" t="n">
        <f aca="false">IFERROR(E94/H94,"")</f>
        <v>185.833333333333</v>
      </c>
      <c r="M94" s="14" t="n">
        <f aca="false">IFERROR(I94/E94,"")</f>
        <v>6.80627802690583</v>
      </c>
      <c r="N94" s="15" t="n">
        <f aca="false">IF(A94="","",A94-WEEKDAY(A94,3))</f>
        <v>46272</v>
      </c>
    </row>
    <row r="95" customFormat="false" ht="15" hidden="false" customHeight="false" outlineLevel="0" collapsed="false">
      <c r="A95" s="8" t="n">
        <v>46276</v>
      </c>
      <c r="B95" s="9" t="s">
        <v>28</v>
      </c>
      <c r="C95" s="9" t="s">
        <v>31</v>
      </c>
      <c r="D95" s="9" t="s">
        <v>32</v>
      </c>
      <c r="E95" s="10" t="n">
        <v>2497</v>
      </c>
      <c r="F95" s="11" t="n">
        <v>83396</v>
      </c>
      <c r="G95" s="11" t="n">
        <v>736</v>
      </c>
      <c r="H95" s="11" t="n">
        <v>7</v>
      </c>
      <c r="I95" s="10" t="n">
        <v>8537</v>
      </c>
      <c r="J95" s="12" t="n">
        <f aca="false">IFERROR(G95/F95,"")</f>
        <v>0.00882536332677826</v>
      </c>
      <c r="K95" s="13" t="n">
        <f aca="false">IFERROR(E95/G95,"")</f>
        <v>3.39266304347826</v>
      </c>
      <c r="L95" s="13" t="n">
        <f aca="false">IFERROR(E95/H95,"")</f>
        <v>356.714285714286</v>
      </c>
      <c r="M95" s="14" t="n">
        <f aca="false">IFERROR(I95/E95,"")</f>
        <v>3.41890268321986</v>
      </c>
      <c r="N95" s="15" t="n">
        <f aca="false">IF(A95="","",A95-WEEKDAY(A95,3))</f>
        <v>46272</v>
      </c>
    </row>
    <row r="96" customFormat="false" ht="15" hidden="false" customHeight="false" outlineLevel="0" collapsed="false">
      <c r="A96" s="8" t="n">
        <v>46276</v>
      </c>
      <c r="B96" s="9" t="s">
        <v>28</v>
      </c>
      <c r="C96" s="9" t="s">
        <v>33</v>
      </c>
      <c r="D96" s="9" t="s">
        <v>30</v>
      </c>
      <c r="E96" s="10" t="n">
        <v>1211</v>
      </c>
      <c r="F96" s="11" t="n">
        <v>9230</v>
      </c>
      <c r="G96" s="11" t="n">
        <v>470</v>
      </c>
      <c r="H96" s="11" t="n">
        <v>4</v>
      </c>
      <c r="I96" s="10" t="n">
        <v>4395</v>
      </c>
      <c r="J96" s="12" t="n">
        <f aca="false">IFERROR(G96/F96,"")</f>
        <v>0.0509209100758397</v>
      </c>
      <c r="K96" s="13" t="n">
        <f aca="false">IFERROR(E96/G96,"")</f>
        <v>2.57659574468085</v>
      </c>
      <c r="L96" s="13" t="n">
        <f aca="false">IFERROR(E96/H96,"")</f>
        <v>302.75</v>
      </c>
      <c r="M96" s="14" t="n">
        <f aca="false">IFERROR(I96/E96,"")</f>
        <v>3.62923203963666</v>
      </c>
      <c r="N96" s="15" t="n">
        <f aca="false">IF(A96="","",A96-WEEKDAY(A96,3))</f>
        <v>46272</v>
      </c>
    </row>
    <row r="97" customFormat="false" ht="15" hidden="false" customHeight="false" outlineLevel="0" collapsed="false">
      <c r="A97" s="8" t="n">
        <v>46277</v>
      </c>
      <c r="B97" s="9" t="s">
        <v>24</v>
      </c>
      <c r="C97" s="9" t="s">
        <v>25</v>
      </c>
      <c r="D97" s="9" t="s">
        <v>26</v>
      </c>
      <c r="E97" s="10" t="n">
        <v>2393</v>
      </c>
      <c r="F97" s="11" t="n">
        <v>82644</v>
      </c>
      <c r="G97" s="11" t="n">
        <v>941</v>
      </c>
      <c r="H97" s="11" t="n">
        <v>7</v>
      </c>
      <c r="I97" s="10" t="n">
        <v>8078</v>
      </c>
      <c r="J97" s="12" t="n">
        <f aca="false">IFERROR(G97/F97,"")</f>
        <v>0.0113861865350177</v>
      </c>
      <c r="K97" s="13" t="n">
        <f aca="false">IFERROR(E97/G97,"")</f>
        <v>2.54303931987248</v>
      </c>
      <c r="L97" s="13" t="n">
        <f aca="false">IFERROR(E97/H97,"")</f>
        <v>341.857142857143</v>
      </c>
      <c r="M97" s="14" t="n">
        <f aca="false">IFERROR(I97/E97,"")</f>
        <v>3.37567906393648</v>
      </c>
      <c r="N97" s="15" t="n">
        <f aca="false">IF(A97="","",A97-WEEKDAY(A97,3))</f>
        <v>46272</v>
      </c>
    </row>
    <row r="98" customFormat="false" ht="15" hidden="false" customHeight="false" outlineLevel="0" collapsed="false">
      <c r="A98" s="8" t="n">
        <v>46277</v>
      </c>
      <c r="B98" s="9" t="s">
        <v>24</v>
      </c>
      <c r="C98" s="9" t="s">
        <v>27</v>
      </c>
      <c r="D98" s="9" t="s">
        <v>26</v>
      </c>
      <c r="E98" s="10" t="n">
        <v>1436</v>
      </c>
      <c r="F98" s="11" t="n">
        <v>19177</v>
      </c>
      <c r="G98" s="11" t="n">
        <v>357</v>
      </c>
      <c r="H98" s="11" t="n">
        <v>4</v>
      </c>
      <c r="I98" s="10" t="n">
        <v>4787</v>
      </c>
      <c r="J98" s="12" t="n">
        <f aca="false">IFERROR(G98/F98,"")</f>
        <v>0.0186160504771341</v>
      </c>
      <c r="K98" s="13" t="n">
        <f aca="false">IFERROR(E98/G98,"")</f>
        <v>4.02240896358543</v>
      </c>
      <c r="L98" s="13" t="n">
        <f aca="false">IFERROR(E98/H98,"")</f>
        <v>359</v>
      </c>
      <c r="M98" s="14" t="n">
        <f aca="false">IFERROR(I98/E98,"")</f>
        <v>3.33356545961003</v>
      </c>
      <c r="N98" s="15" t="n">
        <f aca="false">IF(A98="","",A98-WEEKDAY(A98,3))</f>
        <v>46272</v>
      </c>
    </row>
    <row r="99" customFormat="false" ht="15" hidden="false" customHeight="false" outlineLevel="0" collapsed="false">
      <c r="A99" s="8" t="n">
        <v>46277</v>
      </c>
      <c r="B99" s="9" t="s">
        <v>28</v>
      </c>
      <c r="C99" s="9" t="s">
        <v>29</v>
      </c>
      <c r="D99" s="9" t="s">
        <v>30</v>
      </c>
      <c r="E99" s="10" t="n">
        <v>1059</v>
      </c>
      <c r="F99" s="11" t="n">
        <v>5439</v>
      </c>
      <c r="G99" s="11" t="n">
        <v>730</v>
      </c>
      <c r="H99" s="11" t="n">
        <v>6</v>
      </c>
      <c r="I99" s="10" t="n">
        <v>8171</v>
      </c>
      <c r="J99" s="12" t="n">
        <f aca="false">IFERROR(G99/F99,"")</f>
        <v>0.134215848501563</v>
      </c>
      <c r="K99" s="13" t="n">
        <f aca="false">IFERROR(E99/G99,"")</f>
        <v>1.45068493150685</v>
      </c>
      <c r="L99" s="13" t="n">
        <f aca="false">IFERROR(E99/H99,"")</f>
        <v>176.5</v>
      </c>
      <c r="M99" s="14" t="n">
        <f aca="false">IFERROR(I99/E99,"")</f>
        <v>7.71576959395656</v>
      </c>
      <c r="N99" s="15" t="n">
        <f aca="false">IF(A99="","",A99-WEEKDAY(A99,3))</f>
        <v>46272</v>
      </c>
    </row>
    <row r="100" customFormat="false" ht="15" hidden="false" customHeight="false" outlineLevel="0" collapsed="false">
      <c r="A100" s="8" t="n">
        <v>46277</v>
      </c>
      <c r="B100" s="9" t="s">
        <v>28</v>
      </c>
      <c r="C100" s="9" t="s">
        <v>31</v>
      </c>
      <c r="D100" s="9" t="s">
        <v>32</v>
      </c>
      <c r="E100" s="10" t="n">
        <v>2697</v>
      </c>
      <c r="F100" s="11" t="n">
        <v>87886</v>
      </c>
      <c r="G100" s="11" t="n">
        <v>789</v>
      </c>
      <c r="H100" s="11" t="n">
        <v>9</v>
      </c>
      <c r="I100" s="10" t="n">
        <v>10904</v>
      </c>
      <c r="J100" s="12" t="n">
        <f aca="false">IFERROR(G100/F100,"")</f>
        <v>0.00897753908472339</v>
      </c>
      <c r="K100" s="13" t="n">
        <f aca="false">IFERROR(E100/G100,"")</f>
        <v>3.41825095057034</v>
      </c>
      <c r="L100" s="13" t="n">
        <f aca="false">IFERROR(E100/H100,"")</f>
        <v>299.666666666667</v>
      </c>
      <c r="M100" s="14" t="n">
        <f aca="false">IFERROR(I100/E100,"")</f>
        <v>4.04301075268817</v>
      </c>
      <c r="N100" s="15" t="n">
        <f aca="false">IF(A100="","",A100-WEEKDAY(A100,3))</f>
        <v>46272</v>
      </c>
    </row>
    <row r="101" customFormat="false" ht="15" hidden="false" customHeight="false" outlineLevel="0" collapsed="false">
      <c r="A101" s="8" t="n">
        <v>46277</v>
      </c>
      <c r="B101" s="9" t="s">
        <v>28</v>
      </c>
      <c r="C101" s="9" t="s">
        <v>33</v>
      </c>
      <c r="D101" s="9" t="s">
        <v>30</v>
      </c>
      <c r="E101" s="10" t="n">
        <v>1222</v>
      </c>
      <c r="F101" s="11" t="n">
        <v>9257</v>
      </c>
      <c r="G101" s="11" t="n">
        <v>435</v>
      </c>
      <c r="H101" s="11" t="n">
        <v>3</v>
      </c>
      <c r="I101" s="10" t="n">
        <v>3219</v>
      </c>
      <c r="J101" s="12" t="n">
        <f aca="false">IFERROR(G101/F101,"")</f>
        <v>0.0469914659176839</v>
      </c>
      <c r="K101" s="13" t="n">
        <f aca="false">IFERROR(E101/G101,"")</f>
        <v>2.80919540229885</v>
      </c>
      <c r="L101" s="13" t="n">
        <f aca="false">IFERROR(E101/H101,"")</f>
        <v>407.333333333333</v>
      </c>
      <c r="M101" s="14" t="n">
        <f aca="false">IFERROR(I101/E101,"")</f>
        <v>2.6342062193126</v>
      </c>
      <c r="N101" s="15" t="n">
        <f aca="false">IF(A101="","",A101-WEEKDAY(A101,3))</f>
        <v>46272</v>
      </c>
    </row>
    <row r="102" customFormat="false" ht="15" hidden="false" customHeight="false" outlineLevel="0" collapsed="false">
      <c r="A102" s="8" t="n">
        <v>46278</v>
      </c>
      <c r="B102" s="9" t="s">
        <v>24</v>
      </c>
      <c r="C102" s="9" t="s">
        <v>25</v>
      </c>
      <c r="D102" s="9" t="s">
        <v>26</v>
      </c>
      <c r="E102" s="10" t="n">
        <v>2701</v>
      </c>
      <c r="F102" s="11" t="n">
        <v>74949</v>
      </c>
      <c r="G102" s="11" t="n">
        <v>832</v>
      </c>
      <c r="H102" s="11" t="n">
        <v>5</v>
      </c>
      <c r="I102" s="10" t="n">
        <v>5497</v>
      </c>
      <c r="J102" s="12" t="n">
        <f aca="false">IFERROR(G102/F102,"")</f>
        <v>0.0111008819330478</v>
      </c>
      <c r="K102" s="13" t="n">
        <f aca="false">IFERROR(E102/G102,"")</f>
        <v>3.24639423076923</v>
      </c>
      <c r="L102" s="13" t="n">
        <f aca="false">IFERROR(E102/H102,"")</f>
        <v>540.2</v>
      </c>
      <c r="M102" s="14" t="n">
        <f aca="false">IFERROR(I102/E102,"")</f>
        <v>2.03517215845983</v>
      </c>
      <c r="N102" s="15" t="n">
        <f aca="false">IF(A102="","",A102-WEEKDAY(A102,3))</f>
        <v>46272</v>
      </c>
    </row>
    <row r="103" customFormat="false" ht="15" hidden="false" customHeight="false" outlineLevel="0" collapsed="false">
      <c r="A103" s="8" t="n">
        <v>46278</v>
      </c>
      <c r="B103" s="9" t="s">
        <v>24</v>
      </c>
      <c r="C103" s="9" t="s">
        <v>27</v>
      </c>
      <c r="D103" s="9" t="s">
        <v>26</v>
      </c>
      <c r="E103" s="10" t="n">
        <v>1348</v>
      </c>
      <c r="F103" s="11" t="n">
        <v>21722</v>
      </c>
      <c r="G103" s="11" t="n">
        <v>402</v>
      </c>
      <c r="H103" s="11" t="n">
        <v>6</v>
      </c>
      <c r="I103" s="10" t="n">
        <v>7343</v>
      </c>
      <c r="J103" s="12" t="n">
        <f aca="false">IFERROR(G103/F103,"")</f>
        <v>0.0185065831875518</v>
      </c>
      <c r="K103" s="13" t="n">
        <f aca="false">IFERROR(E103/G103,"")</f>
        <v>3.35323383084577</v>
      </c>
      <c r="L103" s="13" t="n">
        <f aca="false">IFERROR(E103/H103,"")</f>
        <v>224.666666666667</v>
      </c>
      <c r="M103" s="14" t="n">
        <f aca="false">IFERROR(I103/E103,"")</f>
        <v>5.4473293768546</v>
      </c>
      <c r="N103" s="15" t="n">
        <f aca="false">IF(A103="","",A103-WEEKDAY(A103,3))</f>
        <v>46272</v>
      </c>
    </row>
    <row r="104" customFormat="false" ht="15" hidden="false" customHeight="false" outlineLevel="0" collapsed="false">
      <c r="A104" s="8" t="n">
        <v>46278</v>
      </c>
      <c r="B104" s="9" t="s">
        <v>28</v>
      </c>
      <c r="C104" s="9" t="s">
        <v>29</v>
      </c>
      <c r="D104" s="9" t="s">
        <v>30</v>
      </c>
      <c r="E104" s="10" t="n">
        <v>1103</v>
      </c>
      <c r="F104" s="11" t="n">
        <v>5163</v>
      </c>
      <c r="G104" s="11" t="n">
        <v>719</v>
      </c>
      <c r="H104" s="11" t="n">
        <v>5</v>
      </c>
      <c r="I104" s="10" t="n">
        <v>6756</v>
      </c>
      <c r="J104" s="12" t="n">
        <f aca="false">IFERROR(G104/F104,"")</f>
        <v>0.139260120085222</v>
      </c>
      <c r="K104" s="13" t="n">
        <f aca="false">IFERROR(E104/G104,"")</f>
        <v>1.53407510431154</v>
      </c>
      <c r="L104" s="13" t="n">
        <f aca="false">IFERROR(E104/H104,"")</f>
        <v>220.6</v>
      </c>
      <c r="M104" s="14" t="n">
        <f aca="false">IFERROR(I104/E104,"")</f>
        <v>6.12511332728921</v>
      </c>
      <c r="N104" s="15" t="n">
        <f aca="false">IF(A104="","",A104-WEEKDAY(A104,3))</f>
        <v>46272</v>
      </c>
    </row>
    <row r="105" customFormat="false" ht="15" hidden="false" customHeight="false" outlineLevel="0" collapsed="false">
      <c r="A105" s="8" t="n">
        <v>46278</v>
      </c>
      <c r="B105" s="9" t="s">
        <v>28</v>
      </c>
      <c r="C105" s="9" t="s">
        <v>31</v>
      </c>
      <c r="D105" s="9" t="s">
        <v>32</v>
      </c>
      <c r="E105" s="10" t="n">
        <v>2570</v>
      </c>
      <c r="F105" s="11" t="n">
        <v>98606</v>
      </c>
      <c r="G105" s="11" t="n">
        <v>942</v>
      </c>
      <c r="H105" s="11" t="n">
        <v>9</v>
      </c>
      <c r="I105" s="10" t="n">
        <v>10576</v>
      </c>
      <c r="J105" s="12" t="n">
        <f aca="false">IFERROR(G105/F105,"")</f>
        <v>0.00955317120662029</v>
      </c>
      <c r="K105" s="13" t="n">
        <f aca="false">IFERROR(E105/G105,"")</f>
        <v>2.72823779193206</v>
      </c>
      <c r="L105" s="13" t="n">
        <f aca="false">IFERROR(E105/H105,"")</f>
        <v>285.555555555556</v>
      </c>
      <c r="M105" s="14" t="n">
        <f aca="false">IFERROR(I105/E105,"")</f>
        <v>4.11517509727626</v>
      </c>
      <c r="N105" s="15" t="n">
        <f aca="false">IF(A105="","",A105-WEEKDAY(A105,3))</f>
        <v>46272</v>
      </c>
    </row>
    <row r="106" customFormat="false" ht="15" hidden="false" customHeight="false" outlineLevel="0" collapsed="false">
      <c r="A106" s="8" t="n">
        <v>46278</v>
      </c>
      <c r="B106" s="9" t="s">
        <v>28</v>
      </c>
      <c r="C106" s="9" t="s">
        <v>33</v>
      </c>
      <c r="D106" s="9" t="s">
        <v>30</v>
      </c>
      <c r="E106" s="10" t="n">
        <v>1261</v>
      </c>
      <c r="F106" s="11" t="n">
        <v>9843</v>
      </c>
      <c r="G106" s="11" t="n">
        <v>489</v>
      </c>
      <c r="H106" s="11" t="n">
        <v>3</v>
      </c>
      <c r="I106" s="10" t="n">
        <v>3204</v>
      </c>
      <c r="J106" s="12" t="n">
        <f aca="false">IFERROR(G106/F106,"")</f>
        <v>0.0496799756171899</v>
      </c>
      <c r="K106" s="13" t="n">
        <f aca="false">IFERROR(E106/G106,"")</f>
        <v>2.57873210633947</v>
      </c>
      <c r="L106" s="13" t="n">
        <f aca="false">IFERROR(E106/H106,"")</f>
        <v>420.333333333333</v>
      </c>
      <c r="M106" s="14" t="n">
        <f aca="false">IFERROR(I106/E106,"")</f>
        <v>2.54084060269627</v>
      </c>
      <c r="N106" s="15" t="n">
        <f aca="false">IF(A106="","",A106-WEEKDAY(A106,3))</f>
        <v>46272</v>
      </c>
    </row>
    <row r="107" customFormat="false" ht="15" hidden="false" customHeight="false" outlineLevel="0" collapsed="false">
      <c r="A107" s="8" t="n">
        <v>46279</v>
      </c>
      <c r="B107" s="9" t="s">
        <v>24</v>
      </c>
      <c r="C107" s="9" t="s">
        <v>25</v>
      </c>
      <c r="D107" s="9" t="s">
        <v>26</v>
      </c>
      <c r="E107" s="10" t="n">
        <v>2785</v>
      </c>
      <c r="F107" s="11" t="n">
        <v>73487</v>
      </c>
      <c r="G107" s="11" t="n">
        <v>638</v>
      </c>
      <c r="H107" s="11" t="n">
        <v>3</v>
      </c>
      <c r="I107" s="10" t="n">
        <v>3458</v>
      </c>
      <c r="J107" s="12" t="n">
        <f aca="false">IFERROR(G107/F107,"")</f>
        <v>0.00868180766666213</v>
      </c>
      <c r="K107" s="13" t="n">
        <f aca="false">IFERROR(E107/G107,"")</f>
        <v>4.36520376175549</v>
      </c>
      <c r="L107" s="13" t="n">
        <f aca="false">IFERROR(E107/H107,"")</f>
        <v>928.333333333333</v>
      </c>
      <c r="M107" s="14" t="n">
        <f aca="false">IFERROR(I107/E107,"")</f>
        <v>1.24165170556553</v>
      </c>
      <c r="N107" s="15" t="n">
        <f aca="false">IF(A107="","",A107-WEEKDAY(A107,3))</f>
        <v>46279</v>
      </c>
    </row>
    <row r="108" customFormat="false" ht="15" hidden="false" customHeight="false" outlineLevel="0" collapsed="false">
      <c r="A108" s="8" t="n">
        <v>46279</v>
      </c>
      <c r="B108" s="9" t="s">
        <v>24</v>
      </c>
      <c r="C108" s="9" t="s">
        <v>27</v>
      </c>
      <c r="D108" s="9" t="s">
        <v>26</v>
      </c>
      <c r="E108" s="10" t="n">
        <v>1501</v>
      </c>
      <c r="F108" s="11" t="n">
        <v>19457</v>
      </c>
      <c r="G108" s="11" t="n">
        <v>366</v>
      </c>
      <c r="H108" s="11" t="n">
        <v>5</v>
      </c>
      <c r="I108" s="10" t="n">
        <v>6492</v>
      </c>
      <c r="J108" s="12" t="n">
        <f aca="false">IFERROR(G108/F108,"")</f>
        <v>0.0188107107981703</v>
      </c>
      <c r="K108" s="13" t="n">
        <f aca="false">IFERROR(E108/G108,"")</f>
        <v>4.10109289617486</v>
      </c>
      <c r="L108" s="13" t="n">
        <f aca="false">IFERROR(E108/H108,"")</f>
        <v>300.2</v>
      </c>
      <c r="M108" s="14" t="n">
        <f aca="false">IFERROR(I108/E108,"")</f>
        <v>4.32511658894071</v>
      </c>
      <c r="N108" s="15" t="n">
        <f aca="false">IF(A108="","",A108-WEEKDAY(A108,3))</f>
        <v>46279</v>
      </c>
    </row>
    <row r="109" customFormat="false" ht="15" hidden="false" customHeight="false" outlineLevel="0" collapsed="false">
      <c r="A109" s="8" t="n">
        <v>46279</v>
      </c>
      <c r="B109" s="9" t="s">
        <v>28</v>
      </c>
      <c r="C109" s="9" t="s">
        <v>29</v>
      </c>
      <c r="D109" s="9" t="s">
        <v>30</v>
      </c>
      <c r="E109" s="10" t="n">
        <v>1136</v>
      </c>
      <c r="F109" s="11" t="n">
        <v>4921</v>
      </c>
      <c r="G109" s="11" t="n">
        <v>727</v>
      </c>
      <c r="H109" s="11" t="n">
        <v>5</v>
      </c>
      <c r="I109" s="10" t="n">
        <v>6191</v>
      </c>
      <c r="J109" s="12" t="n">
        <f aca="false">IFERROR(G109/F109,"")</f>
        <v>0.147734200365779</v>
      </c>
      <c r="K109" s="13" t="n">
        <f aca="false">IFERROR(E109/G109,"")</f>
        <v>1.56258596973865</v>
      </c>
      <c r="L109" s="13" t="n">
        <f aca="false">IFERROR(E109/H109,"")</f>
        <v>227.2</v>
      </c>
      <c r="M109" s="14" t="n">
        <f aca="false">IFERROR(I109/E109,"")</f>
        <v>5.44982394366197</v>
      </c>
      <c r="N109" s="15" t="n">
        <f aca="false">IF(A109="","",A109-WEEKDAY(A109,3))</f>
        <v>46279</v>
      </c>
    </row>
    <row r="110" customFormat="false" ht="15" hidden="false" customHeight="false" outlineLevel="0" collapsed="false">
      <c r="A110" s="8" t="n">
        <v>46279</v>
      </c>
      <c r="B110" s="9" t="s">
        <v>28</v>
      </c>
      <c r="C110" s="9" t="s">
        <v>31</v>
      </c>
      <c r="D110" s="9" t="s">
        <v>32</v>
      </c>
      <c r="E110" s="10" t="n">
        <v>2858</v>
      </c>
      <c r="F110" s="11" t="n">
        <v>89851</v>
      </c>
      <c r="G110" s="11" t="n">
        <v>803</v>
      </c>
      <c r="H110" s="11" t="n">
        <v>10</v>
      </c>
      <c r="I110" s="10" t="n">
        <v>11376</v>
      </c>
      <c r="J110" s="12" t="n">
        <f aca="false">IFERROR(G110/F110,"")</f>
        <v>0.00893701795194266</v>
      </c>
      <c r="K110" s="13" t="n">
        <f aca="false">IFERROR(E110/G110,"")</f>
        <v>3.55915317559153</v>
      </c>
      <c r="L110" s="13" t="n">
        <f aca="false">IFERROR(E110/H110,"")</f>
        <v>285.8</v>
      </c>
      <c r="M110" s="14" t="n">
        <f aca="false">IFERROR(I110/E110,"")</f>
        <v>3.98040587823653</v>
      </c>
      <c r="N110" s="15" t="n">
        <f aca="false">IF(A110="","",A110-WEEKDAY(A110,3))</f>
        <v>46279</v>
      </c>
    </row>
    <row r="111" customFormat="false" ht="15" hidden="false" customHeight="false" outlineLevel="0" collapsed="false">
      <c r="A111" s="8" t="n">
        <v>46279</v>
      </c>
      <c r="B111" s="9" t="s">
        <v>28</v>
      </c>
      <c r="C111" s="9" t="s">
        <v>33</v>
      </c>
      <c r="D111" s="9" t="s">
        <v>30</v>
      </c>
      <c r="E111" s="10" t="n">
        <v>1170</v>
      </c>
      <c r="F111" s="11" t="n">
        <v>8669</v>
      </c>
      <c r="G111" s="11" t="n">
        <v>454</v>
      </c>
      <c r="H111" s="11" t="n">
        <v>3</v>
      </c>
      <c r="I111" s="10" t="n">
        <v>3383</v>
      </c>
      <c r="J111" s="12" t="n">
        <f aca="false">IFERROR(G111/F111,"")</f>
        <v>0.0523705156304072</v>
      </c>
      <c r="K111" s="13" t="n">
        <f aca="false">IFERROR(E111/G111,"")</f>
        <v>2.57709251101322</v>
      </c>
      <c r="L111" s="13" t="n">
        <f aca="false">IFERROR(E111/H111,"")</f>
        <v>390</v>
      </c>
      <c r="M111" s="14" t="n">
        <f aca="false">IFERROR(I111/E111,"")</f>
        <v>2.89145299145299</v>
      </c>
      <c r="N111" s="15" t="n">
        <f aca="false">IF(A111="","",A111-WEEKDAY(A111,3))</f>
        <v>46279</v>
      </c>
    </row>
    <row r="112" customFormat="false" ht="15" hidden="false" customHeight="false" outlineLevel="0" collapsed="false">
      <c r="A112" s="8" t="n">
        <v>46280</v>
      </c>
      <c r="B112" s="9" t="s">
        <v>24</v>
      </c>
      <c r="C112" s="9" t="s">
        <v>25</v>
      </c>
      <c r="D112" s="9" t="s">
        <v>26</v>
      </c>
      <c r="E112" s="10" t="n">
        <v>2741</v>
      </c>
      <c r="F112" s="11" t="n">
        <v>72073</v>
      </c>
      <c r="G112" s="11" t="n">
        <v>655</v>
      </c>
      <c r="H112" s="11" t="n">
        <v>4</v>
      </c>
      <c r="I112" s="10" t="n">
        <v>4785</v>
      </c>
      <c r="J112" s="12" t="n">
        <f aca="false">IFERROR(G112/F112,"")</f>
        <v>0.00908800799189711</v>
      </c>
      <c r="K112" s="13" t="n">
        <f aca="false">IFERROR(E112/G112,"")</f>
        <v>4.18473282442748</v>
      </c>
      <c r="L112" s="13" t="n">
        <f aca="false">IFERROR(E112/H112,"")</f>
        <v>685.25</v>
      </c>
      <c r="M112" s="14" t="n">
        <f aca="false">IFERROR(I112/E112,"")</f>
        <v>1.74571324334185</v>
      </c>
      <c r="N112" s="15" t="n">
        <f aca="false">IF(A112="","",A112-WEEKDAY(A112,3))</f>
        <v>46279</v>
      </c>
    </row>
    <row r="113" customFormat="false" ht="15" hidden="false" customHeight="false" outlineLevel="0" collapsed="false">
      <c r="A113" s="8" t="n">
        <v>46280</v>
      </c>
      <c r="B113" s="9" t="s">
        <v>24</v>
      </c>
      <c r="C113" s="9" t="s">
        <v>27</v>
      </c>
      <c r="D113" s="9" t="s">
        <v>26</v>
      </c>
      <c r="E113" s="10" t="n">
        <v>1353</v>
      </c>
      <c r="F113" s="11" t="n">
        <v>20463</v>
      </c>
      <c r="G113" s="11" t="n">
        <v>363</v>
      </c>
      <c r="H113" s="11" t="n">
        <v>5</v>
      </c>
      <c r="I113" s="10" t="n">
        <v>6306</v>
      </c>
      <c r="J113" s="12" t="n">
        <f aca="false">IFERROR(G113/F113,"")</f>
        <v>0.0177393344084445</v>
      </c>
      <c r="K113" s="13" t="n">
        <f aca="false">IFERROR(E113/G113,"")</f>
        <v>3.72727272727273</v>
      </c>
      <c r="L113" s="13" t="n">
        <f aca="false">IFERROR(E113/H113,"")</f>
        <v>270.6</v>
      </c>
      <c r="M113" s="14" t="n">
        <f aca="false">IFERROR(I113/E113,"")</f>
        <v>4.66075388026608</v>
      </c>
      <c r="N113" s="15" t="n">
        <f aca="false">IF(A113="","",A113-WEEKDAY(A113,3))</f>
        <v>46279</v>
      </c>
    </row>
    <row r="114" customFormat="false" ht="15" hidden="false" customHeight="false" outlineLevel="0" collapsed="false">
      <c r="A114" s="8" t="n">
        <v>46280</v>
      </c>
      <c r="B114" s="9" t="s">
        <v>28</v>
      </c>
      <c r="C114" s="9" t="s">
        <v>29</v>
      </c>
      <c r="D114" s="9" t="s">
        <v>30</v>
      </c>
      <c r="E114" s="10" t="n">
        <v>1075</v>
      </c>
      <c r="F114" s="11" t="n">
        <v>5125</v>
      </c>
      <c r="G114" s="11" t="n">
        <v>695</v>
      </c>
      <c r="H114" s="11" t="n">
        <v>5</v>
      </c>
      <c r="I114" s="10" t="n">
        <v>6241</v>
      </c>
      <c r="J114" s="12" t="n">
        <f aca="false">IFERROR(G114/F114,"")</f>
        <v>0.135609756097561</v>
      </c>
      <c r="K114" s="13" t="n">
        <f aca="false">IFERROR(E114/G114,"")</f>
        <v>1.54676258992806</v>
      </c>
      <c r="L114" s="13" t="n">
        <f aca="false">IFERROR(E114/H114,"")</f>
        <v>215</v>
      </c>
      <c r="M114" s="14" t="n">
        <f aca="false">IFERROR(I114/E114,"")</f>
        <v>5.80558139534884</v>
      </c>
      <c r="N114" s="15" t="n">
        <f aca="false">IF(A114="","",A114-WEEKDAY(A114,3))</f>
        <v>46279</v>
      </c>
    </row>
    <row r="115" customFormat="false" ht="15" hidden="false" customHeight="false" outlineLevel="0" collapsed="false">
      <c r="A115" s="8" t="n">
        <v>46280</v>
      </c>
      <c r="B115" s="9" t="s">
        <v>28</v>
      </c>
      <c r="C115" s="9" t="s">
        <v>31</v>
      </c>
      <c r="D115" s="9" t="s">
        <v>32</v>
      </c>
      <c r="E115" s="10" t="n">
        <v>3271</v>
      </c>
      <c r="F115" s="11" t="n">
        <v>86141</v>
      </c>
      <c r="G115" s="11" t="n">
        <v>823</v>
      </c>
      <c r="H115" s="11" t="n">
        <v>10</v>
      </c>
      <c r="I115" s="10" t="n">
        <v>11524</v>
      </c>
      <c r="J115" s="12" t="n">
        <f aca="false">IFERROR(G115/F115,"")</f>
        <v>0.00955410315645279</v>
      </c>
      <c r="K115" s="13" t="n">
        <f aca="false">IFERROR(E115/G115,"")</f>
        <v>3.97448359659781</v>
      </c>
      <c r="L115" s="13" t="n">
        <f aca="false">IFERROR(E115/H115,"")</f>
        <v>327.1</v>
      </c>
      <c r="M115" s="14" t="n">
        <f aca="false">IFERROR(I115/E115,"")</f>
        <v>3.52308162641394</v>
      </c>
      <c r="N115" s="15" t="n">
        <f aca="false">IF(A115="","",A115-WEEKDAY(A115,3))</f>
        <v>46279</v>
      </c>
    </row>
    <row r="116" customFormat="false" ht="15" hidden="false" customHeight="false" outlineLevel="0" collapsed="false">
      <c r="A116" s="8" t="n">
        <v>46280</v>
      </c>
      <c r="B116" s="9" t="s">
        <v>28</v>
      </c>
      <c r="C116" s="9" t="s">
        <v>33</v>
      </c>
      <c r="D116" s="9" t="s">
        <v>30</v>
      </c>
      <c r="E116" s="10" t="n">
        <v>1202</v>
      </c>
      <c r="F116" s="11" t="n">
        <v>8442</v>
      </c>
      <c r="G116" s="11" t="n">
        <v>415</v>
      </c>
      <c r="H116" s="11" t="n">
        <v>3</v>
      </c>
      <c r="I116" s="10" t="n">
        <v>3427</v>
      </c>
      <c r="J116" s="12" t="n">
        <f aca="false">IFERROR(G116/F116,"")</f>
        <v>0.0491589670694148</v>
      </c>
      <c r="K116" s="13" t="n">
        <f aca="false">IFERROR(E116/G116,"")</f>
        <v>2.89638554216868</v>
      </c>
      <c r="L116" s="13" t="n">
        <f aca="false">IFERROR(E116/H116,"")</f>
        <v>400.666666666667</v>
      </c>
      <c r="M116" s="14" t="n">
        <f aca="false">IFERROR(I116/E116,"")</f>
        <v>2.85108153078203</v>
      </c>
      <c r="N116" s="15" t="n">
        <f aca="false">IF(A116="","",A116-WEEKDAY(A116,3))</f>
        <v>46279</v>
      </c>
    </row>
    <row r="117" customFormat="false" ht="15" hidden="false" customHeight="false" outlineLevel="0" collapsed="false">
      <c r="A117" s="8" t="n">
        <v>46281</v>
      </c>
      <c r="B117" s="9" t="s">
        <v>24</v>
      </c>
      <c r="C117" s="9" t="s">
        <v>25</v>
      </c>
      <c r="D117" s="9" t="s">
        <v>26</v>
      </c>
      <c r="E117" s="10" t="n">
        <v>2730</v>
      </c>
      <c r="F117" s="11" t="n">
        <v>80042</v>
      </c>
      <c r="G117" s="11" t="n">
        <v>727</v>
      </c>
      <c r="H117" s="11" t="n">
        <v>5</v>
      </c>
      <c r="I117" s="10" t="n">
        <v>5778</v>
      </c>
      <c r="J117" s="12" t="n">
        <f aca="false">IFERROR(G117/F117,"")</f>
        <v>0.00908273156592789</v>
      </c>
      <c r="K117" s="13" t="n">
        <f aca="false">IFERROR(E117/G117,"")</f>
        <v>3.75515818431912</v>
      </c>
      <c r="L117" s="13" t="n">
        <f aca="false">IFERROR(E117/H117,"")</f>
        <v>546</v>
      </c>
      <c r="M117" s="14" t="n">
        <f aca="false">IFERROR(I117/E117,"")</f>
        <v>2.11648351648352</v>
      </c>
      <c r="N117" s="15" t="n">
        <f aca="false">IF(A117="","",A117-WEEKDAY(A117,3))</f>
        <v>46279</v>
      </c>
    </row>
    <row r="118" customFormat="false" ht="15" hidden="false" customHeight="false" outlineLevel="0" collapsed="false">
      <c r="A118" s="8" t="n">
        <v>46281</v>
      </c>
      <c r="B118" s="9" t="s">
        <v>24</v>
      </c>
      <c r="C118" s="9" t="s">
        <v>27</v>
      </c>
      <c r="D118" s="9" t="s">
        <v>26</v>
      </c>
      <c r="E118" s="10" t="n">
        <v>1449</v>
      </c>
      <c r="F118" s="11" t="n">
        <v>19108</v>
      </c>
      <c r="G118" s="11" t="n">
        <v>355</v>
      </c>
      <c r="H118" s="11" t="n">
        <v>5</v>
      </c>
      <c r="I118" s="10" t="n">
        <v>6408</v>
      </c>
      <c r="J118" s="12" t="n">
        <f aca="false">IFERROR(G118/F118,"")</f>
        <v>0.018578605819552</v>
      </c>
      <c r="K118" s="13" t="n">
        <f aca="false">IFERROR(E118/G118,"")</f>
        <v>4.08169014084507</v>
      </c>
      <c r="L118" s="13" t="n">
        <f aca="false">IFERROR(E118/H118,"")</f>
        <v>289.8</v>
      </c>
      <c r="M118" s="14" t="n">
        <f aca="false">IFERROR(I118/E118,"")</f>
        <v>4.42236024844721</v>
      </c>
      <c r="N118" s="15" t="n">
        <f aca="false">IF(A118="","",A118-WEEKDAY(A118,3))</f>
        <v>46279</v>
      </c>
    </row>
    <row r="119" customFormat="false" ht="15" hidden="false" customHeight="false" outlineLevel="0" collapsed="false">
      <c r="A119" s="8" t="n">
        <v>46281</v>
      </c>
      <c r="B119" s="9" t="s">
        <v>28</v>
      </c>
      <c r="C119" s="9" t="s">
        <v>29</v>
      </c>
      <c r="D119" s="9" t="s">
        <v>30</v>
      </c>
      <c r="E119" s="10" t="n">
        <v>1125</v>
      </c>
      <c r="F119" s="11" t="n">
        <v>4978</v>
      </c>
      <c r="G119" s="11" t="n">
        <v>653</v>
      </c>
      <c r="H119" s="11" t="n">
        <v>6</v>
      </c>
      <c r="I119" s="10" t="n">
        <v>7509</v>
      </c>
      <c r="J119" s="12" t="n">
        <f aca="false">IFERROR(G119/F119,"")</f>
        <v>0.131177179590197</v>
      </c>
      <c r="K119" s="13" t="n">
        <f aca="false">IFERROR(E119/G119,"")</f>
        <v>1.72281776416539</v>
      </c>
      <c r="L119" s="13" t="n">
        <f aca="false">IFERROR(E119/H119,"")</f>
        <v>187.5</v>
      </c>
      <c r="M119" s="14" t="n">
        <f aca="false">IFERROR(I119/E119,"")</f>
        <v>6.67466666666667</v>
      </c>
      <c r="N119" s="15" t="n">
        <f aca="false">IF(A119="","",A119-WEEKDAY(A119,3))</f>
        <v>46279</v>
      </c>
    </row>
    <row r="120" customFormat="false" ht="15" hidden="false" customHeight="false" outlineLevel="0" collapsed="false">
      <c r="A120" s="8" t="n">
        <v>46281</v>
      </c>
      <c r="B120" s="9" t="s">
        <v>28</v>
      </c>
      <c r="C120" s="9" t="s">
        <v>31</v>
      </c>
      <c r="D120" s="9" t="s">
        <v>32</v>
      </c>
      <c r="E120" s="10" t="n">
        <v>3091</v>
      </c>
      <c r="F120" s="11" t="n">
        <v>87186</v>
      </c>
      <c r="G120" s="11" t="n">
        <v>762</v>
      </c>
      <c r="H120" s="11" t="n">
        <v>11</v>
      </c>
      <c r="I120" s="10" t="n">
        <v>13598</v>
      </c>
      <c r="J120" s="12" t="n">
        <f aca="false">IFERROR(G120/F120,"")</f>
        <v>0.00873993531071502</v>
      </c>
      <c r="K120" s="13" t="n">
        <f aca="false">IFERROR(E120/G120,"")</f>
        <v>4.05643044619423</v>
      </c>
      <c r="L120" s="13" t="n">
        <f aca="false">IFERROR(E120/H120,"")</f>
        <v>281</v>
      </c>
      <c r="M120" s="14" t="n">
        <f aca="false">IFERROR(I120/E120,"")</f>
        <v>4.39922355224846</v>
      </c>
      <c r="N120" s="15" t="n">
        <f aca="false">IF(A120="","",A120-WEEKDAY(A120,3))</f>
        <v>46279</v>
      </c>
    </row>
    <row r="121" customFormat="false" ht="15" hidden="false" customHeight="false" outlineLevel="0" collapsed="false">
      <c r="A121" s="8" t="n">
        <v>46281</v>
      </c>
      <c r="B121" s="9" t="s">
        <v>28</v>
      </c>
      <c r="C121" s="9" t="s">
        <v>33</v>
      </c>
      <c r="D121" s="9" t="s">
        <v>30</v>
      </c>
      <c r="E121" s="10" t="n">
        <v>1154</v>
      </c>
      <c r="F121" s="11" t="n">
        <v>9281</v>
      </c>
      <c r="G121" s="11" t="n">
        <v>451</v>
      </c>
      <c r="H121" s="11" t="n">
        <v>3</v>
      </c>
      <c r="I121" s="10" t="n">
        <v>3265</v>
      </c>
      <c r="J121" s="12" t="n">
        <f aca="false">IFERROR(G121/F121,"")</f>
        <v>0.0485939015192328</v>
      </c>
      <c r="K121" s="13" t="n">
        <f aca="false">IFERROR(E121/G121,"")</f>
        <v>2.55875831485588</v>
      </c>
      <c r="L121" s="13" t="n">
        <f aca="false">IFERROR(E121/H121,"")</f>
        <v>384.666666666667</v>
      </c>
      <c r="M121" s="14" t="n">
        <f aca="false">IFERROR(I121/E121,"")</f>
        <v>2.82928942807626</v>
      </c>
      <c r="N121" s="15" t="n">
        <f aca="false">IF(A121="","",A121-WEEKDAY(A121,3))</f>
        <v>46279</v>
      </c>
    </row>
    <row r="122" customFormat="false" ht="15" hidden="false" customHeight="false" outlineLevel="0" collapsed="false">
      <c r="A122" s="8" t="n">
        <v>46282</v>
      </c>
      <c r="B122" s="9" t="s">
        <v>24</v>
      </c>
      <c r="C122" s="9" t="s">
        <v>25</v>
      </c>
      <c r="D122" s="9" t="s">
        <v>26</v>
      </c>
      <c r="E122" s="10" t="n">
        <v>2462</v>
      </c>
      <c r="F122" s="11" t="n">
        <v>72722</v>
      </c>
      <c r="G122" s="11" t="n">
        <v>598</v>
      </c>
      <c r="H122" s="11" t="n">
        <v>0</v>
      </c>
      <c r="I122" s="10" t="n">
        <v>0</v>
      </c>
      <c r="J122" s="12" t="n">
        <f aca="false">IFERROR(G122/F122,"")</f>
        <v>0.00822309617447265</v>
      </c>
      <c r="K122" s="13" t="n">
        <f aca="false">IFERROR(E122/G122,"")</f>
        <v>4.11705685618729</v>
      </c>
      <c r="L122" s="13" t="str">
        <f aca="false">IFERROR(E122/H122,"")</f>
        <v/>
      </c>
      <c r="M122" s="14" t="n">
        <f aca="false">IFERROR(I122/E122,"")</f>
        <v>0</v>
      </c>
      <c r="N122" s="15" t="n">
        <f aca="false">IF(A122="","",A122-WEEKDAY(A122,3))</f>
        <v>46279</v>
      </c>
    </row>
    <row r="123" customFormat="false" ht="15" hidden="false" customHeight="false" outlineLevel="0" collapsed="false">
      <c r="A123" s="8" t="n">
        <v>46282</v>
      </c>
      <c r="B123" s="9" t="s">
        <v>24</v>
      </c>
      <c r="C123" s="9" t="s">
        <v>27</v>
      </c>
      <c r="D123" s="9" t="s">
        <v>26</v>
      </c>
      <c r="E123" s="10" t="n">
        <v>1337</v>
      </c>
      <c r="F123" s="11" t="n">
        <v>22706</v>
      </c>
      <c r="G123" s="11" t="n">
        <v>437</v>
      </c>
      <c r="H123" s="11" t="n">
        <v>0</v>
      </c>
      <c r="I123" s="10" t="n">
        <v>0</v>
      </c>
      <c r="J123" s="12" t="n">
        <f aca="false">IFERROR(G123/F123,"")</f>
        <v>0.0192460142693561</v>
      </c>
      <c r="K123" s="13" t="n">
        <f aca="false">IFERROR(E123/G123,"")</f>
        <v>3.05949656750572</v>
      </c>
      <c r="L123" s="13" t="str">
        <f aca="false">IFERROR(E123/H123,"")</f>
        <v/>
      </c>
      <c r="M123" s="14" t="n">
        <f aca="false">IFERROR(I123/E123,"")</f>
        <v>0</v>
      </c>
      <c r="N123" s="15" t="n">
        <f aca="false">IF(A123="","",A123-WEEKDAY(A123,3))</f>
        <v>46279</v>
      </c>
    </row>
    <row r="124" customFormat="false" ht="15" hidden="false" customHeight="false" outlineLevel="0" collapsed="false">
      <c r="A124" s="8" t="n">
        <v>46282</v>
      </c>
      <c r="B124" s="9" t="s">
        <v>28</v>
      </c>
      <c r="C124" s="9" t="s">
        <v>29</v>
      </c>
      <c r="D124" s="9" t="s">
        <v>30</v>
      </c>
      <c r="E124" s="10" t="n">
        <v>1046</v>
      </c>
      <c r="F124" s="11" t="n">
        <v>4774</v>
      </c>
      <c r="G124" s="11" t="n">
        <v>654</v>
      </c>
      <c r="H124" s="11" t="n">
        <v>4</v>
      </c>
      <c r="I124" s="10" t="n">
        <v>5064</v>
      </c>
      <c r="J124" s="12" t="n">
        <f aca="false">IFERROR(G124/F124,"")</f>
        <v>0.136992040217847</v>
      </c>
      <c r="K124" s="13" t="n">
        <f aca="false">IFERROR(E124/G124,"")</f>
        <v>1.59938837920489</v>
      </c>
      <c r="L124" s="13" t="n">
        <f aca="false">IFERROR(E124/H124,"")</f>
        <v>261.5</v>
      </c>
      <c r="M124" s="14" t="n">
        <f aca="false">IFERROR(I124/E124,"")</f>
        <v>4.84130019120459</v>
      </c>
      <c r="N124" s="15" t="n">
        <f aca="false">IF(A124="","",A124-WEEKDAY(A124,3))</f>
        <v>46279</v>
      </c>
    </row>
    <row r="125" customFormat="false" ht="15" hidden="false" customHeight="false" outlineLevel="0" collapsed="false">
      <c r="A125" s="8" t="n">
        <v>46282</v>
      </c>
      <c r="B125" s="9" t="s">
        <v>28</v>
      </c>
      <c r="C125" s="9" t="s">
        <v>31</v>
      </c>
      <c r="D125" s="9" t="s">
        <v>32</v>
      </c>
      <c r="E125" s="10" t="n">
        <v>2985</v>
      </c>
      <c r="F125" s="11" t="n">
        <v>91253</v>
      </c>
      <c r="G125" s="11" t="n">
        <v>866</v>
      </c>
      <c r="H125" s="11" t="n">
        <v>13</v>
      </c>
      <c r="I125" s="10" t="n">
        <v>15206</v>
      </c>
      <c r="J125" s="12" t="n">
        <f aca="false">IFERROR(G125/F125,"")</f>
        <v>0.00949009895565077</v>
      </c>
      <c r="K125" s="13" t="n">
        <f aca="false">IFERROR(E125/G125,"")</f>
        <v>3.44688221709007</v>
      </c>
      <c r="L125" s="13" t="n">
        <f aca="false">IFERROR(E125/H125,"")</f>
        <v>229.615384615385</v>
      </c>
      <c r="M125" s="14" t="n">
        <f aca="false">IFERROR(I125/E125,"")</f>
        <v>5.09413735343384</v>
      </c>
      <c r="N125" s="15" t="n">
        <f aca="false">IF(A125="","",A125-WEEKDAY(A125,3))</f>
        <v>46279</v>
      </c>
    </row>
    <row r="126" customFormat="false" ht="15" hidden="false" customHeight="false" outlineLevel="0" collapsed="false">
      <c r="A126" s="8" t="n">
        <v>46282</v>
      </c>
      <c r="B126" s="9" t="s">
        <v>28</v>
      </c>
      <c r="C126" s="9" t="s">
        <v>33</v>
      </c>
      <c r="D126" s="9" t="s">
        <v>30</v>
      </c>
      <c r="E126" s="10" t="n">
        <v>1183</v>
      </c>
      <c r="F126" s="11" t="n">
        <v>9044</v>
      </c>
      <c r="G126" s="11" t="n">
        <v>444</v>
      </c>
      <c r="H126" s="11" t="n">
        <v>3</v>
      </c>
      <c r="I126" s="10" t="n">
        <v>3155</v>
      </c>
      <c r="J126" s="12" t="n">
        <f aca="false">IFERROR(G126/F126,"")</f>
        <v>0.049093321539142</v>
      </c>
      <c r="K126" s="13" t="n">
        <f aca="false">IFERROR(E126/G126,"")</f>
        <v>2.66441441441441</v>
      </c>
      <c r="L126" s="13" t="n">
        <f aca="false">IFERROR(E126/H126,"")</f>
        <v>394.333333333333</v>
      </c>
      <c r="M126" s="14" t="n">
        <f aca="false">IFERROR(I126/E126,"")</f>
        <v>2.66694843617921</v>
      </c>
      <c r="N126" s="15" t="n">
        <f aca="false">IF(A126="","",A126-WEEKDAY(A126,3))</f>
        <v>46279</v>
      </c>
    </row>
    <row r="127" customFormat="false" ht="15" hidden="false" customHeight="false" outlineLevel="0" collapsed="false">
      <c r="A127" s="8" t="n">
        <v>46283</v>
      </c>
      <c r="B127" s="9" t="s">
        <v>24</v>
      </c>
      <c r="C127" s="9" t="s">
        <v>25</v>
      </c>
      <c r="D127" s="9" t="s">
        <v>26</v>
      </c>
      <c r="E127" s="10" t="n">
        <v>2507</v>
      </c>
      <c r="F127" s="11" t="n">
        <v>85296</v>
      </c>
      <c r="G127" s="11" t="n">
        <v>694</v>
      </c>
      <c r="H127" s="11" t="n">
        <v>4</v>
      </c>
      <c r="I127" s="10" t="n">
        <v>4660</v>
      </c>
      <c r="J127" s="12" t="n">
        <f aca="false">IFERROR(G127/F127,"")</f>
        <v>0.00813637216282124</v>
      </c>
      <c r="K127" s="13" t="n">
        <f aca="false">IFERROR(E127/G127,"")</f>
        <v>3.61239193083574</v>
      </c>
      <c r="L127" s="13" t="n">
        <f aca="false">IFERROR(E127/H127,"")</f>
        <v>626.75</v>
      </c>
      <c r="M127" s="14" t="n">
        <f aca="false">IFERROR(I127/E127,"")</f>
        <v>1.85879537295572</v>
      </c>
      <c r="N127" s="15" t="n">
        <f aca="false">IF(A127="","",A127-WEEKDAY(A127,3))</f>
        <v>46279</v>
      </c>
    </row>
    <row r="128" customFormat="false" ht="15" hidden="false" customHeight="false" outlineLevel="0" collapsed="false">
      <c r="A128" s="8" t="n">
        <v>46283</v>
      </c>
      <c r="B128" s="9" t="s">
        <v>24</v>
      </c>
      <c r="C128" s="9" t="s">
        <v>27</v>
      </c>
      <c r="D128" s="9" t="s">
        <v>26</v>
      </c>
      <c r="E128" s="10" t="n">
        <v>1481</v>
      </c>
      <c r="F128" s="11" t="n">
        <v>19807</v>
      </c>
      <c r="G128" s="11" t="n">
        <v>345</v>
      </c>
      <c r="H128" s="11" t="n">
        <v>4</v>
      </c>
      <c r="I128" s="10" t="n">
        <v>4950</v>
      </c>
      <c r="J128" s="12" t="n">
        <f aca="false">IFERROR(G128/F128,"")</f>
        <v>0.0174180845155753</v>
      </c>
      <c r="K128" s="13" t="n">
        <f aca="false">IFERROR(E128/G128,"")</f>
        <v>4.29275362318841</v>
      </c>
      <c r="L128" s="13" t="n">
        <f aca="false">IFERROR(E128/H128,"")</f>
        <v>370.25</v>
      </c>
      <c r="M128" s="14" t="n">
        <f aca="false">IFERROR(I128/E128,"")</f>
        <v>3.34233625928427</v>
      </c>
      <c r="N128" s="15" t="n">
        <f aca="false">IF(A128="","",A128-WEEKDAY(A128,3))</f>
        <v>46279</v>
      </c>
    </row>
    <row r="129" customFormat="false" ht="15" hidden="false" customHeight="false" outlineLevel="0" collapsed="false">
      <c r="A129" s="8" t="n">
        <v>46283</v>
      </c>
      <c r="B129" s="9" t="s">
        <v>28</v>
      </c>
      <c r="C129" s="9" t="s">
        <v>29</v>
      </c>
      <c r="D129" s="9" t="s">
        <v>30</v>
      </c>
      <c r="E129" s="10" t="n">
        <v>1090</v>
      </c>
      <c r="F129" s="11" t="n">
        <v>5672</v>
      </c>
      <c r="G129" s="11" t="n">
        <v>833</v>
      </c>
      <c r="H129" s="11" t="n">
        <v>7</v>
      </c>
      <c r="I129" s="10" t="n">
        <v>8665</v>
      </c>
      <c r="J129" s="12" t="n">
        <f aca="false">IFERROR(G129/F129,"")</f>
        <v>0.146861777150917</v>
      </c>
      <c r="K129" s="13" t="n">
        <f aca="false">IFERROR(E129/G129,"")</f>
        <v>1.30852340936375</v>
      </c>
      <c r="L129" s="13" t="n">
        <f aca="false">IFERROR(E129/H129,"")</f>
        <v>155.714285714286</v>
      </c>
      <c r="M129" s="14" t="n">
        <f aca="false">IFERROR(I129/E129,"")</f>
        <v>7.94954128440367</v>
      </c>
      <c r="N129" s="15" t="n">
        <f aca="false">IF(A129="","",A129-WEEKDAY(A129,3))</f>
        <v>46279</v>
      </c>
    </row>
    <row r="130" customFormat="false" ht="15" hidden="false" customHeight="false" outlineLevel="0" collapsed="false">
      <c r="A130" s="8" t="n">
        <v>46283</v>
      </c>
      <c r="B130" s="9" t="s">
        <v>28</v>
      </c>
      <c r="C130" s="9" t="s">
        <v>31</v>
      </c>
      <c r="D130" s="9" t="s">
        <v>32</v>
      </c>
      <c r="E130" s="10" t="n">
        <v>2873</v>
      </c>
      <c r="F130" s="11" t="n">
        <v>93771</v>
      </c>
      <c r="G130" s="11" t="n">
        <v>891</v>
      </c>
      <c r="H130" s="11" t="n">
        <v>12</v>
      </c>
      <c r="I130" s="10" t="n">
        <v>14283</v>
      </c>
      <c r="J130" s="12" t="n">
        <f aca="false">IFERROR(G130/F130,"")</f>
        <v>0.00950187158076591</v>
      </c>
      <c r="K130" s="13" t="n">
        <f aca="false">IFERROR(E130/G130,"")</f>
        <v>3.22446689113356</v>
      </c>
      <c r="L130" s="13" t="n">
        <f aca="false">IFERROR(E130/H130,"")</f>
        <v>239.416666666667</v>
      </c>
      <c r="M130" s="14" t="n">
        <f aca="false">IFERROR(I130/E130,"")</f>
        <v>4.97145840584755</v>
      </c>
      <c r="N130" s="15" t="n">
        <f aca="false">IF(A130="","",A130-WEEKDAY(A130,3))</f>
        <v>46279</v>
      </c>
    </row>
    <row r="131" customFormat="false" ht="15" hidden="false" customHeight="false" outlineLevel="0" collapsed="false">
      <c r="A131" s="8" t="n">
        <v>46283</v>
      </c>
      <c r="B131" s="9" t="s">
        <v>28</v>
      </c>
      <c r="C131" s="9" t="s">
        <v>33</v>
      </c>
      <c r="D131" s="9" t="s">
        <v>30</v>
      </c>
      <c r="E131" s="10" t="n">
        <v>1104</v>
      </c>
      <c r="F131" s="11" t="n">
        <v>8805</v>
      </c>
      <c r="G131" s="11" t="n">
        <v>467</v>
      </c>
      <c r="H131" s="11" t="n">
        <v>4</v>
      </c>
      <c r="I131" s="10" t="n">
        <v>4556</v>
      </c>
      <c r="J131" s="12" t="n">
        <f aca="false">IFERROR(G131/F131,"")</f>
        <v>0.053038046564452</v>
      </c>
      <c r="K131" s="13" t="n">
        <f aca="false">IFERROR(E131/G131,"")</f>
        <v>2.36402569593148</v>
      </c>
      <c r="L131" s="13" t="n">
        <f aca="false">IFERROR(E131/H131,"")</f>
        <v>276</v>
      </c>
      <c r="M131" s="14" t="n">
        <f aca="false">IFERROR(I131/E131,"")</f>
        <v>4.1268115942029</v>
      </c>
      <c r="N131" s="15" t="n">
        <f aca="false">IF(A131="","",A131-WEEKDAY(A131,3))</f>
        <v>46279</v>
      </c>
    </row>
    <row r="132" customFormat="false" ht="15" hidden="false" customHeight="false" outlineLevel="0" collapsed="false">
      <c r="A132" s="8" t="n">
        <v>46284</v>
      </c>
      <c r="B132" s="9" t="s">
        <v>24</v>
      </c>
      <c r="C132" s="9" t="s">
        <v>25</v>
      </c>
      <c r="D132" s="9" t="s">
        <v>26</v>
      </c>
      <c r="E132" s="10" t="n">
        <v>2796</v>
      </c>
      <c r="F132" s="11" t="n">
        <v>74076</v>
      </c>
      <c r="G132" s="11" t="n">
        <v>601</v>
      </c>
      <c r="H132" s="11" t="n">
        <v>3</v>
      </c>
      <c r="I132" s="10" t="n">
        <v>3458</v>
      </c>
      <c r="J132" s="12" t="n">
        <f aca="false">IFERROR(G132/F132,"")</f>
        <v>0.00811328905448458</v>
      </c>
      <c r="K132" s="13" t="n">
        <f aca="false">IFERROR(E132/G132,"")</f>
        <v>4.6522462562396</v>
      </c>
      <c r="L132" s="13" t="n">
        <f aca="false">IFERROR(E132/H132,"")</f>
        <v>932</v>
      </c>
      <c r="M132" s="14" t="n">
        <f aca="false">IFERROR(I132/E132,"")</f>
        <v>1.23676680972818</v>
      </c>
      <c r="N132" s="15" t="n">
        <f aca="false">IF(A132="","",A132-WEEKDAY(A132,3))</f>
        <v>46279</v>
      </c>
    </row>
    <row r="133" customFormat="false" ht="15" hidden="false" customHeight="false" outlineLevel="0" collapsed="false">
      <c r="A133" s="8" t="n">
        <v>46284</v>
      </c>
      <c r="B133" s="9" t="s">
        <v>24</v>
      </c>
      <c r="C133" s="9" t="s">
        <v>27</v>
      </c>
      <c r="D133" s="9" t="s">
        <v>26</v>
      </c>
      <c r="E133" s="10" t="n">
        <v>1441</v>
      </c>
      <c r="F133" s="11" t="n">
        <v>22854</v>
      </c>
      <c r="G133" s="11" t="n">
        <v>424</v>
      </c>
      <c r="H133" s="11" t="n">
        <v>6</v>
      </c>
      <c r="I133" s="10" t="n">
        <v>7699</v>
      </c>
      <c r="J133" s="12" t="n">
        <f aca="false">IFERROR(G133/F133,"")</f>
        <v>0.0185525509757592</v>
      </c>
      <c r="K133" s="13" t="n">
        <f aca="false">IFERROR(E133/G133,"")</f>
        <v>3.39858490566038</v>
      </c>
      <c r="L133" s="13" t="n">
        <f aca="false">IFERROR(E133/H133,"")</f>
        <v>240.166666666667</v>
      </c>
      <c r="M133" s="14" t="n">
        <f aca="false">IFERROR(I133/E133,"")</f>
        <v>5.34281748785566</v>
      </c>
      <c r="N133" s="15" t="n">
        <f aca="false">IF(A133="","",A133-WEEKDAY(A133,3))</f>
        <v>46279</v>
      </c>
    </row>
    <row r="134" customFormat="false" ht="15" hidden="false" customHeight="false" outlineLevel="0" collapsed="false">
      <c r="A134" s="8" t="n">
        <v>46284</v>
      </c>
      <c r="B134" s="9" t="s">
        <v>28</v>
      </c>
      <c r="C134" s="9" t="s">
        <v>29</v>
      </c>
      <c r="D134" s="9" t="s">
        <v>30</v>
      </c>
      <c r="E134" s="10" t="n">
        <v>1092</v>
      </c>
      <c r="F134" s="11" t="n">
        <v>5254</v>
      </c>
      <c r="G134" s="11" t="n">
        <v>688</v>
      </c>
      <c r="H134" s="11" t="n">
        <v>6</v>
      </c>
      <c r="I134" s="10" t="n">
        <v>7591</v>
      </c>
      <c r="J134" s="12" t="n">
        <f aca="false">IFERROR(G134/F134,"")</f>
        <v>0.130947849257708</v>
      </c>
      <c r="K134" s="13" t="n">
        <f aca="false">IFERROR(E134/G134,"")</f>
        <v>1.58720930232558</v>
      </c>
      <c r="L134" s="13" t="n">
        <f aca="false">IFERROR(E134/H134,"")</f>
        <v>182</v>
      </c>
      <c r="M134" s="14" t="n">
        <f aca="false">IFERROR(I134/E134,"")</f>
        <v>6.9514652014652</v>
      </c>
      <c r="N134" s="15" t="n">
        <f aca="false">IF(A134="","",A134-WEEKDAY(A134,3))</f>
        <v>46279</v>
      </c>
    </row>
    <row r="135" customFormat="false" ht="15" hidden="false" customHeight="false" outlineLevel="0" collapsed="false">
      <c r="A135" s="8" t="n">
        <v>46284</v>
      </c>
      <c r="B135" s="9" t="s">
        <v>28</v>
      </c>
      <c r="C135" s="9" t="s">
        <v>31</v>
      </c>
      <c r="D135" s="9" t="s">
        <v>32</v>
      </c>
      <c r="E135" s="10" t="n">
        <v>3314</v>
      </c>
      <c r="F135" s="11" t="n">
        <v>92619</v>
      </c>
      <c r="G135" s="11" t="n">
        <v>811</v>
      </c>
      <c r="H135" s="11" t="n">
        <v>10</v>
      </c>
      <c r="I135" s="10" t="n">
        <v>11507</v>
      </c>
      <c r="J135" s="12" t="n">
        <f aca="false">IFERROR(G135/F135,"")</f>
        <v>0.00875630270246926</v>
      </c>
      <c r="K135" s="13" t="n">
        <f aca="false">IFERROR(E135/G135,"")</f>
        <v>4.08631319358816</v>
      </c>
      <c r="L135" s="13" t="n">
        <f aca="false">IFERROR(E135/H135,"")</f>
        <v>331.4</v>
      </c>
      <c r="M135" s="14" t="n">
        <f aca="false">IFERROR(I135/E135,"")</f>
        <v>3.47223898611949</v>
      </c>
      <c r="N135" s="15" t="n">
        <f aca="false">IF(A135="","",A135-WEEKDAY(A135,3))</f>
        <v>46279</v>
      </c>
    </row>
    <row r="136" customFormat="false" ht="15" hidden="false" customHeight="false" outlineLevel="0" collapsed="false">
      <c r="A136" s="8" t="n">
        <v>46284</v>
      </c>
      <c r="B136" s="9" t="s">
        <v>28</v>
      </c>
      <c r="C136" s="9" t="s">
        <v>33</v>
      </c>
      <c r="D136" s="9" t="s">
        <v>30</v>
      </c>
      <c r="E136" s="10" t="n">
        <v>1226</v>
      </c>
      <c r="F136" s="11" t="n">
        <v>9357</v>
      </c>
      <c r="G136" s="11" t="n">
        <v>442</v>
      </c>
      <c r="H136" s="11" t="n">
        <v>3</v>
      </c>
      <c r="I136" s="10" t="n">
        <v>3308</v>
      </c>
      <c r="J136" s="12" t="n">
        <f aca="false">IFERROR(G136/F136,"")</f>
        <v>0.0472373624024794</v>
      </c>
      <c r="K136" s="13" t="n">
        <f aca="false">IFERROR(E136/G136,"")</f>
        <v>2.7737556561086</v>
      </c>
      <c r="L136" s="13" t="n">
        <f aca="false">IFERROR(E136/H136,"")</f>
        <v>408.666666666667</v>
      </c>
      <c r="M136" s="14" t="n">
        <f aca="false">IFERROR(I136/E136,"")</f>
        <v>2.69820554649266</v>
      </c>
      <c r="N136" s="15" t="n">
        <f aca="false">IF(A136="","",A136-WEEKDAY(A136,3))</f>
        <v>46279</v>
      </c>
    </row>
    <row r="137" customFormat="false" ht="15" hidden="false" customHeight="false" outlineLevel="0" collapsed="false">
      <c r="A137" s="8" t="n">
        <v>46285</v>
      </c>
      <c r="B137" s="9" t="s">
        <v>24</v>
      </c>
      <c r="C137" s="9" t="s">
        <v>25</v>
      </c>
      <c r="D137" s="9" t="s">
        <v>26</v>
      </c>
      <c r="E137" s="10" t="n">
        <v>2634</v>
      </c>
      <c r="F137" s="11" t="n">
        <v>76254</v>
      </c>
      <c r="G137" s="11" t="n">
        <v>629</v>
      </c>
      <c r="H137" s="11" t="n">
        <v>4</v>
      </c>
      <c r="I137" s="10" t="n">
        <v>4375</v>
      </c>
      <c r="J137" s="12" t="n">
        <f aca="false">IFERROR(G137/F137,"")</f>
        <v>0.00824874760668293</v>
      </c>
      <c r="K137" s="13" t="n">
        <f aca="false">IFERROR(E137/G137,"")</f>
        <v>4.18759936406995</v>
      </c>
      <c r="L137" s="13" t="n">
        <f aca="false">IFERROR(E137/H137,"")</f>
        <v>658.5</v>
      </c>
      <c r="M137" s="14" t="n">
        <f aca="false">IFERROR(I137/E137,"")</f>
        <v>1.66097190584662</v>
      </c>
      <c r="N137" s="15" t="n">
        <f aca="false">IF(A137="","",A137-WEEKDAY(A137,3))</f>
        <v>46279</v>
      </c>
    </row>
    <row r="138" customFormat="false" ht="15" hidden="false" customHeight="false" outlineLevel="0" collapsed="false">
      <c r="A138" s="8" t="n">
        <v>46285</v>
      </c>
      <c r="B138" s="9" t="s">
        <v>24</v>
      </c>
      <c r="C138" s="9" t="s">
        <v>27</v>
      </c>
      <c r="D138" s="9" t="s">
        <v>26</v>
      </c>
      <c r="E138" s="10" t="n">
        <v>1356</v>
      </c>
      <c r="F138" s="11" t="n">
        <v>20835</v>
      </c>
      <c r="G138" s="11" t="n">
        <v>399</v>
      </c>
      <c r="H138" s="11" t="n">
        <v>5</v>
      </c>
      <c r="I138" s="10" t="n">
        <v>6490</v>
      </c>
      <c r="J138" s="12" t="n">
        <f aca="false">IFERROR(G138/F138,"")</f>
        <v>0.019150467962563</v>
      </c>
      <c r="K138" s="13" t="n">
        <f aca="false">IFERROR(E138/G138,"")</f>
        <v>3.3984962406015</v>
      </c>
      <c r="L138" s="13" t="n">
        <f aca="false">IFERROR(E138/H138,"")</f>
        <v>271.2</v>
      </c>
      <c r="M138" s="14" t="n">
        <f aca="false">IFERROR(I138/E138,"")</f>
        <v>4.78613569321534</v>
      </c>
      <c r="N138" s="15" t="n">
        <f aca="false">IF(A138="","",A138-WEEKDAY(A138,3))</f>
        <v>46279</v>
      </c>
    </row>
    <row r="139" customFormat="false" ht="15" hidden="false" customHeight="false" outlineLevel="0" collapsed="false">
      <c r="A139" s="8" t="n">
        <v>46285</v>
      </c>
      <c r="B139" s="9" t="s">
        <v>28</v>
      </c>
      <c r="C139" s="9" t="s">
        <v>29</v>
      </c>
      <c r="D139" s="9" t="s">
        <v>30</v>
      </c>
      <c r="E139" s="10" t="n">
        <v>1096</v>
      </c>
      <c r="F139" s="11" t="n">
        <v>4924</v>
      </c>
      <c r="G139" s="11" t="n">
        <v>665</v>
      </c>
      <c r="H139" s="11" t="n">
        <v>6</v>
      </c>
      <c r="I139" s="10" t="n">
        <v>7960</v>
      </c>
      <c r="J139" s="12" t="n">
        <f aca="false">IFERROR(G139/F139,"")</f>
        <v>0.135052802599513</v>
      </c>
      <c r="K139" s="13" t="n">
        <f aca="false">IFERROR(E139/G139,"")</f>
        <v>1.64812030075188</v>
      </c>
      <c r="L139" s="13" t="n">
        <f aca="false">IFERROR(E139/H139,"")</f>
        <v>182.666666666667</v>
      </c>
      <c r="M139" s="14" t="n">
        <f aca="false">IFERROR(I139/E139,"")</f>
        <v>7.26277372262774</v>
      </c>
      <c r="N139" s="15" t="n">
        <f aca="false">IF(A139="","",A139-WEEKDAY(A139,3))</f>
        <v>46279</v>
      </c>
    </row>
    <row r="140" customFormat="false" ht="15" hidden="false" customHeight="false" outlineLevel="0" collapsed="false">
      <c r="A140" s="8" t="n">
        <v>46285</v>
      </c>
      <c r="B140" s="9" t="s">
        <v>28</v>
      </c>
      <c r="C140" s="9" t="s">
        <v>31</v>
      </c>
      <c r="D140" s="9" t="s">
        <v>32</v>
      </c>
      <c r="E140" s="10" t="n">
        <v>3009</v>
      </c>
      <c r="F140" s="11" t="n">
        <v>81392</v>
      </c>
      <c r="G140" s="11" t="n">
        <v>732</v>
      </c>
      <c r="H140" s="11" t="n">
        <v>11</v>
      </c>
      <c r="I140" s="10" t="n">
        <v>12876</v>
      </c>
      <c r="J140" s="12" t="n">
        <f aca="false">IFERROR(G140/F140,"")</f>
        <v>0.00899351287595833</v>
      </c>
      <c r="K140" s="13" t="n">
        <f aca="false">IFERROR(E140/G140,"")</f>
        <v>4.11065573770492</v>
      </c>
      <c r="L140" s="13" t="n">
        <f aca="false">IFERROR(E140/H140,"")</f>
        <v>273.545454545455</v>
      </c>
      <c r="M140" s="14" t="n">
        <f aca="false">IFERROR(I140/E140,"")</f>
        <v>4.27916251246261</v>
      </c>
      <c r="N140" s="15" t="n">
        <f aca="false">IF(A140="","",A140-WEEKDAY(A140,3))</f>
        <v>46279</v>
      </c>
    </row>
    <row r="141" customFormat="false" ht="15" hidden="false" customHeight="false" outlineLevel="0" collapsed="false">
      <c r="A141" s="8" t="n">
        <v>46285</v>
      </c>
      <c r="B141" s="9" t="s">
        <v>28</v>
      </c>
      <c r="C141" s="9" t="s">
        <v>33</v>
      </c>
      <c r="D141" s="9" t="s">
        <v>30</v>
      </c>
      <c r="E141" s="10" t="n">
        <v>1153</v>
      </c>
      <c r="F141" s="11" t="n">
        <v>9301</v>
      </c>
      <c r="G141" s="11" t="n">
        <v>493</v>
      </c>
      <c r="H141" s="11" t="n">
        <v>3</v>
      </c>
      <c r="I141" s="10" t="n">
        <v>3146</v>
      </c>
      <c r="J141" s="12" t="n">
        <f aca="false">IFERROR(G141/F141,"")</f>
        <v>0.0530050532200839</v>
      </c>
      <c r="K141" s="13" t="n">
        <f aca="false">IFERROR(E141/G141,"")</f>
        <v>2.33874239350913</v>
      </c>
      <c r="L141" s="13" t="n">
        <f aca="false">IFERROR(E141/H141,"")</f>
        <v>384.333333333333</v>
      </c>
      <c r="M141" s="14" t="n">
        <f aca="false">IFERROR(I141/E141,"")</f>
        <v>2.7285342584562</v>
      </c>
      <c r="N141" s="15" t="n">
        <f aca="false">IF(A141="","",A141-WEEKDAY(A141,3))</f>
        <v>46279</v>
      </c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 t="str">
        <f aca="false">IFERROR(G142/F142,"")</f>
        <v/>
      </c>
      <c r="K142" s="16" t="str">
        <f aca="false">IFERROR(E142/G142,"")</f>
        <v/>
      </c>
      <c r="L142" s="16" t="str">
        <f aca="false">IFERROR(E142/H142,"")</f>
        <v/>
      </c>
      <c r="M142" s="16" t="str">
        <f aca="false">IFERROR(I142/E142,"")</f>
        <v/>
      </c>
      <c r="N142" s="16" t="str">
        <f aca="false">IF(A142="","",A142-WEEKDAY(A142,3))</f>
        <v/>
      </c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 t="str">
        <f aca="false">IFERROR(G143/F143,"")</f>
        <v/>
      </c>
      <c r="K143" s="16" t="str">
        <f aca="false">IFERROR(E143/G143,"")</f>
        <v/>
      </c>
      <c r="L143" s="16" t="str">
        <f aca="false">IFERROR(E143/H143,"")</f>
        <v/>
      </c>
      <c r="M143" s="16" t="str">
        <f aca="false">IFERROR(I143/E143,"")</f>
        <v/>
      </c>
      <c r="N143" s="16" t="str">
        <f aca="false">IF(A143="","",A143-WEEKDAY(A143,3))</f>
        <v/>
      </c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 t="str">
        <f aca="false">IFERROR(G144/F144,"")</f>
        <v/>
      </c>
      <c r="K144" s="16" t="str">
        <f aca="false">IFERROR(E144/G144,"")</f>
        <v/>
      </c>
      <c r="L144" s="16" t="str">
        <f aca="false">IFERROR(E144/H144,"")</f>
        <v/>
      </c>
      <c r="M144" s="16" t="str">
        <f aca="false">IFERROR(I144/E144,"")</f>
        <v/>
      </c>
      <c r="N144" s="16" t="str">
        <f aca="false">IF(A144="","",A144-WEEKDAY(A144,3))</f>
        <v/>
      </c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 t="str">
        <f aca="false">IFERROR(G145/F145,"")</f>
        <v/>
      </c>
      <c r="K145" s="16" t="str">
        <f aca="false">IFERROR(E145/G145,"")</f>
        <v/>
      </c>
      <c r="L145" s="16" t="str">
        <f aca="false">IFERROR(E145/H145,"")</f>
        <v/>
      </c>
      <c r="M145" s="16" t="str">
        <f aca="false">IFERROR(I145/E145,"")</f>
        <v/>
      </c>
      <c r="N145" s="16" t="str">
        <f aca="false">IF(A145="","",A145-WEEKDAY(A145,3))</f>
        <v/>
      </c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 t="str">
        <f aca="false">IFERROR(G146/F146,"")</f>
        <v/>
      </c>
      <c r="K146" s="16" t="str">
        <f aca="false">IFERROR(E146/G146,"")</f>
        <v/>
      </c>
      <c r="L146" s="16" t="str">
        <f aca="false">IFERROR(E146/H146,"")</f>
        <v/>
      </c>
      <c r="M146" s="16" t="str">
        <f aca="false">IFERROR(I146/E146,"")</f>
        <v/>
      </c>
      <c r="N146" s="16" t="str">
        <f aca="false">IF(A146="","",A146-WEEKDAY(A146,3))</f>
        <v/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 t="str">
        <f aca="false">IFERROR(G147/F147,"")</f>
        <v/>
      </c>
      <c r="K147" s="16" t="str">
        <f aca="false">IFERROR(E147/G147,"")</f>
        <v/>
      </c>
      <c r="L147" s="16" t="str">
        <f aca="false">IFERROR(E147/H147,"")</f>
        <v/>
      </c>
      <c r="M147" s="16" t="str">
        <f aca="false">IFERROR(I147/E147,"")</f>
        <v/>
      </c>
      <c r="N147" s="16" t="str">
        <f aca="false">IF(A147="","",A147-WEEKDAY(A147,3))</f>
        <v/>
      </c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 t="str">
        <f aca="false">IFERROR(G148/F148,"")</f>
        <v/>
      </c>
      <c r="K148" s="16" t="str">
        <f aca="false">IFERROR(E148/G148,"")</f>
        <v/>
      </c>
      <c r="L148" s="16" t="str">
        <f aca="false">IFERROR(E148/H148,"")</f>
        <v/>
      </c>
      <c r="M148" s="16" t="str">
        <f aca="false">IFERROR(I148/E148,"")</f>
        <v/>
      </c>
      <c r="N148" s="16" t="str">
        <f aca="false">IF(A148="","",A148-WEEKDAY(A148,3))</f>
        <v/>
      </c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 t="str">
        <f aca="false">IFERROR(G149/F149,"")</f>
        <v/>
      </c>
      <c r="K149" s="16" t="str">
        <f aca="false">IFERROR(E149/G149,"")</f>
        <v/>
      </c>
      <c r="L149" s="16" t="str">
        <f aca="false">IFERROR(E149/H149,"")</f>
        <v/>
      </c>
      <c r="M149" s="16" t="str">
        <f aca="false">IFERROR(I149/E149,"")</f>
        <v/>
      </c>
      <c r="N149" s="16" t="str">
        <f aca="false">IF(A149="","",A149-WEEKDAY(A149,3))</f>
        <v/>
      </c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 t="str">
        <f aca="false">IFERROR(G150/F150,"")</f>
        <v/>
      </c>
      <c r="K150" s="16" t="str">
        <f aca="false">IFERROR(E150/G150,"")</f>
        <v/>
      </c>
      <c r="L150" s="16" t="str">
        <f aca="false">IFERROR(E150/H150,"")</f>
        <v/>
      </c>
      <c r="M150" s="16" t="str">
        <f aca="false">IFERROR(I150/E150,"")</f>
        <v/>
      </c>
      <c r="N150" s="16" t="str">
        <f aca="false">IF(A150="","",A150-WEEKDAY(A150,3))</f>
        <v/>
      </c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 t="str">
        <f aca="false">IFERROR(G151/F151,"")</f>
        <v/>
      </c>
      <c r="K151" s="16" t="str">
        <f aca="false">IFERROR(E151/G151,"")</f>
        <v/>
      </c>
      <c r="L151" s="16" t="str">
        <f aca="false">IFERROR(E151/H151,"")</f>
        <v/>
      </c>
      <c r="M151" s="16" t="str">
        <f aca="false">IFERROR(I151/E151,"")</f>
        <v/>
      </c>
      <c r="N151" s="16" t="str">
        <f aca="false">IF(A151="","",A151-WEEKDAY(A151,3))</f>
        <v/>
      </c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 t="str">
        <f aca="false">IFERROR(G152/F152,"")</f>
        <v/>
      </c>
      <c r="K152" s="16" t="str">
        <f aca="false">IFERROR(E152/G152,"")</f>
        <v/>
      </c>
      <c r="L152" s="16" t="str">
        <f aca="false">IFERROR(E152/H152,"")</f>
        <v/>
      </c>
      <c r="M152" s="16" t="str">
        <f aca="false">IFERROR(I152/E152,"")</f>
        <v/>
      </c>
      <c r="N152" s="16" t="str">
        <f aca="false">IF(A152="","",A152-WEEKDAY(A152,3))</f>
        <v/>
      </c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 t="str">
        <f aca="false">IFERROR(G153/F153,"")</f>
        <v/>
      </c>
      <c r="K153" s="16" t="str">
        <f aca="false">IFERROR(E153/G153,"")</f>
        <v/>
      </c>
      <c r="L153" s="16" t="str">
        <f aca="false">IFERROR(E153/H153,"")</f>
        <v/>
      </c>
      <c r="M153" s="16" t="str">
        <f aca="false">IFERROR(I153/E153,"")</f>
        <v/>
      </c>
      <c r="N153" s="16" t="str">
        <f aca="false">IF(A153="","",A153-WEEKDAY(A153,3))</f>
        <v/>
      </c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 t="str">
        <f aca="false">IFERROR(G154/F154,"")</f>
        <v/>
      </c>
      <c r="K154" s="16" t="str">
        <f aca="false">IFERROR(E154/G154,"")</f>
        <v/>
      </c>
      <c r="L154" s="16" t="str">
        <f aca="false">IFERROR(E154/H154,"")</f>
        <v/>
      </c>
      <c r="M154" s="16" t="str">
        <f aca="false">IFERROR(I154/E154,"")</f>
        <v/>
      </c>
      <c r="N154" s="16" t="str">
        <f aca="false">IF(A154="","",A154-WEEKDAY(A154,3))</f>
        <v/>
      </c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 t="str">
        <f aca="false">IFERROR(G155/F155,"")</f>
        <v/>
      </c>
      <c r="K155" s="16" t="str">
        <f aca="false">IFERROR(E155/G155,"")</f>
        <v/>
      </c>
      <c r="L155" s="16" t="str">
        <f aca="false">IFERROR(E155/H155,"")</f>
        <v/>
      </c>
      <c r="M155" s="16" t="str">
        <f aca="false">IFERROR(I155/E155,"")</f>
        <v/>
      </c>
      <c r="N155" s="16" t="str">
        <f aca="false">IF(A155="","",A155-WEEKDAY(A155,3))</f>
        <v/>
      </c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 t="str">
        <f aca="false">IFERROR(G156/F156,"")</f>
        <v/>
      </c>
      <c r="K156" s="16" t="str">
        <f aca="false">IFERROR(E156/G156,"")</f>
        <v/>
      </c>
      <c r="L156" s="16" t="str">
        <f aca="false">IFERROR(E156/H156,"")</f>
        <v/>
      </c>
      <c r="M156" s="16" t="str">
        <f aca="false">IFERROR(I156/E156,"")</f>
        <v/>
      </c>
      <c r="N156" s="16" t="str">
        <f aca="false">IF(A156="","",A156-WEEKDAY(A156,3))</f>
        <v/>
      </c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 t="str">
        <f aca="false">IFERROR(G157/F157,"")</f>
        <v/>
      </c>
      <c r="K157" s="16" t="str">
        <f aca="false">IFERROR(E157/G157,"")</f>
        <v/>
      </c>
      <c r="L157" s="16" t="str">
        <f aca="false">IFERROR(E157/H157,"")</f>
        <v/>
      </c>
      <c r="M157" s="16" t="str">
        <f aca="false">IFERROR(I157/E157,"")</f>
        <v/>
      </c>
      <c r="N157" s="16" t="str">
        <f aca="false">IF(A157="","",A157-WEEKDAY(A157,3))</f>
        <v/>
      </c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 t="str">
        <f aca="false">IFERROR(G158/F158,"")</f>
        <v/>
      </c>
      <c r="K158" s="16" t="str">
        <f aca="false">IFERROR(E158/G158,"")</f>
        <v/>
      </c>
      <c r="L158" s="16" t="str">
        <f aca="false">IFERROR(E158/H158,"")</f>
        <v/>
      </c>
      <c r="M158" s="16" t="str">
        <f aca="false">IFERROR(I158/E158,"")</f>
        <v/>
      </c>
      <c r="N158" s="16" t="str">
        <f aca="false">IF(A158="","",A158-WEEKDAY(A158,3))</f>
        <v/>
      </c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 t="str">
        <f aca="false">IFERROR(G159/F159,"")</f>
        <v/>
      </c>
      <c r="K159" s="16" t="str">
        <f aca="false">IFERROR(E159/G159,"")</f>
        <v/>
      </c>
      <c r="L159" s="16" t="str">
        <f aca="false">IFERROR(E159/H159,"")</f>
        <v/>
      </c>
      <c r="M159" s="16" t="str">
        <f aca="false">IFERROR(I159/E159,"")</f>
        <v/>
      </c>
      <c r="N159" s="16" t="str">
        <f aca="false">IF(A159="","",A159-WEEKDAY(A159,3))</f>
        <v/>
      </c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 t="str">
        <f aca="false">IFERROR(G160/F160,"")</f>
        <v/>
      </c>
      <c r="K160" s="16" t="str">
        <f aca="false">IFERROR(E160/G160,"")</f>
        <v/>
      </c>
      <c r="L160" s="16" t="str">
        <f aca="false">IFERROR(E160/H160,"")</f>
        <v/>
      </c>
      <c r="M160" s="16" t="str">
        <f aca="false">IFERROR(I160/E160,"")</f>
        <v/>
      </c>
      <c r="N160" s="16" t="str">
        <f aca="false">IF(A160="","",A160-WEEKDAY(A160,3))</f>
        <v/>
      </c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 t="str">
        <f aca="false">IFERROR(G161/F161,"")</f>
        <v/>
      </c>
      <c r="K161" s="16" t="str">
        <f aca="false">IFERROR(E161/G161,"")</f>
        <v/>
      </c>
      <c r="L161" s="16" t="str">
        <f aca="false">IFERROR(E161/H161,"")</f>
        <v/>
      </c>
      <c r="M161" s="16" t="str">
        <f aca="false">IFERROR(I161/E161,"")</f>
        <v/>
      </c>
      <c r="N161" s="16" t="str">
        <f aca="false">IF(A161="","",A161-WEEKDAY(A161,3))</f>
        <v/>
      </c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 t="str">
        <f aca="false">IFERROR(G162/F162,"")</f>
        <v/>
      </c>
      <c r="K162" s="16" t="str">
        <f aca="false">IFERROR(E162/G162,"")</f>
        <v/>
      </c>
      <c r="L162" s="16" t="str">
        <f aca="false">IFERROR(E162/H162,"")</f>
        <v/>
      </c>
      <c r="M162" s="16" t="str">
        <f aca="false">IFERROR(I162/E162,"")</f>
        <v/>
      </c>
      <c r="N162" s="16" t="str">
        <f aca="false">IF(A162="","",A162-WEEKDAY(A162,3))</f>
        <v/>
      </c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 t="str">
        <f aca="false">IFERROR(G163/F163,"")</f>
        <v/>
      </c>
      <c r="K163" s="16" t="str">
        <f aca="false">IFERROR(E163/G163,"")</f>
        <v/>
      </c>
      <c r="L163" s="16" t="str">
        <f aca="false">IFERROR(E163/H163,"")</f>
        <v/>
      </c>
      <c r="M163" s="16" t="str">
        <f aca="false">IFERROR(I163/E163,"")</f>
        <v/>
      </c>
      <c r="N163" s="16" t="str">
        <f aca="false">IF(A163="","",A163-WEEKDAY(A163,3))</f>
        <v/>
      </c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 t="str">
        <f aca="false">IFERROR(G164/F164,"")</f>
        <v/>
      </c>
      <c r="K164" s="16" t="str">
        <f aca="false">IFERROR(E164/G164,"")</f>
        <v/>
      </c>
      <c r="L164" s="16" t="str">
        <f aca="false">IFERROR(E164/H164,"")</f>
        <v/>
      </c>
      <c r="M164" s="16" t="str">
        <f aca="false">IFERROR(I164/E164,"")</f>
        <v/>
      </c>
      <c r="N164" s="16" t="str">
        <f aca="false">IF(A164="","",A164-WEEKDAY(A164,3))</f>
        <v/>
      </c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 t="str">
        <f aca="false">IFERROR(G165/F165,"")</f>
        <v/>
      </c>
      <c r="K165" s="16" t="str">
        <f aca="false">IFERROR(E165/G165,"")</f>
        <v/>
      </c>
      <c r="L165" s="16" t="str">
        <f aca="false">IFERROR(E165/H165,"")</f>
        <v/>
      </c>
      <c r="M165" s="16" t="str">
        <f aca="false">IFERROR(I165/E165,"")</f>
        <v/>
      </c>
      <c r="N165" s="16" t="str">
        <f aca="false">IF(A165="","",A165-WEEKDAY(A165,3))</f>
        <v/>
      </c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 t="str">
        <f aca="false">IFERROR(G166/F166,"")</f>
        <v/>
      </c>
      <c r="K166" s="16" t="str">
        <f aca="false">IFERROR(E166/G166,"")</f>
        <v/>
      </c>
      <c r="L166" s="16" t="str">
        <f aca="false">IFERROR(E166/H166,"")</f>
        <v/>
      </c>
      <c r="M166" s="16" t="str">
        <f aca="false">IFERROR(I166/E166,"")</f>
        <v/>
      </c>
      <c r="N166" s="16" t="str">
        <f aca="false">IF(A166="","",A166-WEEKDAY(A166,3))</f>
        <v/>
      </c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 t="str">
        <f aca="false">IFERROR(G167/F167,"")</f>
        <v/>
      </c>
      <c r="K167" s="16" t="str">
        <f aca="false">IFERROR(E167/G167,"")</f>
        <v/>
      </c>
      <c r="L167" s="16" t="str">
        <f aca="false">IFERROR(E167/H167,"")</f>
        <v/>
      </c>
      <c r="M167" s="16" t="str">
        <f aca="false">IFERROR(I167/E167,"")</f>
        <v/>
      </c>
      <c r="N167" s="16" t="str">
        <f aca="false">IF(A167="","",A167-WEEKDAY(A167,3))</f>
        <v/>
      </c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 t="str">
        <f aca="false">IFERROR(G168/F168,"")</f>
        <v/>
      </c>
      <c r="K168" s="16" t="str">
        <f aca="false">IFERROR(E168/G168,"")</f>
        <v/>
      </c>
      <c r="L168" s="16" t="str">
        <f aca="false">IFERROR(E168/H168,"")</f>
        <v/>
      </c>
      <c r="M168" s="16" t="str">
        <f aca="false">IFERROR(I168/E168,"")</f>
        <v/>
      </c>
      <c r="N168" s="16" t="str">
        <f aca="false">IF(A168="","",A168-WEEKDAY(A168,3))</f>
        <v/>
      </c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 t="str">
        <f aca="false">IFERROR(G169/F169,"")</f>
        <v/>
      </c>
      <c r="K169" s="16" t="str">
        <f aca="false">IFERROR(E169/G169,"")</f>
        <v/>
      </c>
      <c r="L169" s="16" t="str">
        <f aca="false">IFERROR(E169/H169,"")</f>
        <v/>
      </c>
      <c r="M169" s="16" t="str">
        <f aca="false">IFERROR(I169/E169,"")</f>
        <v/>
      </c>
      <c r="N169" s="16" t="str">
        <f aca="false">IF(A169="","",A169-WEEKDAY(A169,3))</f>
        <v/>
      </c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 t="str">
        <f aca="false">IFERROR(G170/F170,"")</f>
        <v/>
      </c>
      <c r="K170" s="16" t="str">
        <f aca="false">IFERROR(E170/G170,"")</f>
        <v/>
      </c>
      <c r="L170" s="16" t="str">
        <f aca="false">IFERROR(E170/H170,"")</f>
        <v/>
      </c>
      <c r="M170" s="16" t="str">
        <f aca="false">IFERROR(I170/E170,"")</f>
        <v/>
      </c>
      <c r="N170" s="16" t="str">
        <f aca="false">IF(A170="","",A170-WEEKDAY(A170,3))</f>
        <v/>
      </c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 t="str">
        <f aca="false">IFERROR(G171/F171,"")</f>
        <v/>
      </c>
      <c r="K171" s="16" t="str">
        <f aca="false">IFERROR(E171/G171,"")</f>
        <v/>
      </c>
      <c r="L171" s="16" t="str">
        <f aca="false">IFERROR(E171/H171,"")</f>
        <v/>
      </c>
      <c r="M171" s="16" t="str">
        <f aca="false">IFERROR(I171/E171,"")</f>
        <v/>
      </c>
      <c r="N171" s="16" t="str">
        <f aca="false">IF(A171="","",A171-WEEKDAY(A171,3))</f>
        <v/>
      </c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 t="str">
        <f aca="false">IFERROR(G172/F172,"")</f>
        <v/>
      </c>
      <c r="K172" s="16" t="str">
        <f aca="false">IFERROR(E172/G172,"")</f>
        <v/>
      </c>
      <c r="L172" s="16" t="str">
        <f aca="false">IFERROR(E172/H172,"")</f>
        <v/>
      </c>
      <c r="M172" s="16" t="str">
        <f aca="false">IFERROR(I172/E172,"")</f>
        <v/>
      </c>
      <c r="N172" s="16" t="str">
        <f aca="false">IF(A172="","",A172-WEEKDAY(A172,3))</f>
        <v/>
      </c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 t="str">
        <f aca="false">IFERROR(G173/F173,"")</f>
        <v/>
      </c>
      <c r="K173" s="16" t="str">
        <f aca="false">IFERROR(E173/G173,"")</f>
        <v/>
      </c>
      <c r="L173" s="16" t="str">
        <f aca="false">IFERROR(E173/H173,"")</f>
        <v/>
      </c>
      <c r="M173" s="16" t="str">
        <f aca="false">IFERROR(I173/E173,"")</f>
        <v/>
      </c>
      <c r="N173" s="16" t="str">
        <f aca="false">IF(A173="","",A173-WEEKDAY(A173,3))</f>
        <v/>
      </c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 t="str">
        <f aca="false">IFERROR(G174/F174,"")</f>
        <v/>
      </c>
      <c r="K174" s="16" t="str">
        <f aca="false">IFERROR(E174/G174,"")</f>
        <v/>
      </c>
      <c r="L174" s="16" t="str">
        <f aca="false">IFERROR(E174/H174,"")</f>
        <v/>
      </c>
      <c r="M174" s="16" t="str">
        <f aca="false">IFERROR(I174/E174,"")</f>
        <v/>
      </c>
      <c r="N174" s="16" t="str">
        <f aca="false">IF(A174="","",A174-WEEKDAY(A174,3))</f>
        <v/>
      </c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 t="str">
        <f aca="false">IFERROR(G175/F175,"")</f>
        <v/>
      </c>
      <c r="K175" s="16" t="str">
        <f aca="false">IFERROR(E175/G175,"")</f>
        <v/>
      </c>
      <c r="L175" s="16" t="str">
        <f aca="false">IFERROR(E175/H175,"")</f>
        <v/>
      </c>
      <c r="M175" s="16" t="str">
        <f aca="false">IFERROR(I175/E175,"")</f>
        <v/>
      </c>
      <c r="N175" s="16" t="str">
        <f aca="false">IF(A175="","",A175-WEEKDAY(A175,3))</f>
        <v/>
      </c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 t="str">
        <f aca="false">IFERROR(G176/F176,"")</f>
        <v/>
      </c>
      <c r="K176" s="16" t="str">
        <f aca="false">IFERROR(E176/G176,"")</f>
        <v/>
      </c>
      <c r="L176" s="16" t="str">
        <f aca="false">IFERROR(E176/H176,"")</f>
        <v/>
      </c>
      <c r="M176" s="16" t="str">
        <f aca="false">IFERROR(I176/E176,"")</f>
        <v/>
      </c>
      <c r="N176" s="16" t="str">
        <f aca="false">IF(A176="","",A176-WEEKDAY(A176,3))</f>
        <v/>
      </c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 t="str">
        <f aca="false">IFERROR(G177/F177,"")</f>
        <v/>
      </c>
      <c r="K177" s="16" t="str">
        <f aca="false">IFERROR(E177/G177,"")</f>
        <v/>
      </c>
      <c r="L177" s="16" t="str">
        <f aca="false">IFERROR(E177/H177,"")</f>
        <v/>
      </c>
      <c r="M177" s="16" t="str">
        <f aca="false">IFERROR(I177/E177,"")</f>
        <v/>
      </c>
      <c r="N177" s="16" t="str">
        <f aca="false">IF(A177="","",A177-WEEKDAY(A177,3))</f>
        <v/>
      </c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 t="str">
        <f aca="false">IFERROR(G178/F178,"")</f>
        <v/>
      </c>
      <c r="K178" s="16" t="str">
        <f aca="false">IFERROR(E178/G178,"")</f>
        <v/>
      </c>
      <c r="L178" s="16" t="str">
        <f aca="false">IFERROR(E178/H178,"")</f>
        <v/>
      </c>
      <c r="M178" s="16" t="str">
        <f aca="false">IFERROR(I178/E178,"")</f>
        <v/>
      </c>
      <c r="N178" s="16" t="str">
        <f aca="false">IF(A178="","",A178-WEEKDAY(A178,3))</f>
        <v/>
      </c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 t="str">
        <f aca="false">IFERROR(G179/F179,"")</f>
        <v/>
      </c>
      <c r="K179" s="16" t="str">
        <f aca="false">IFERROR(E179/G179,"")</f>
        <v/>
      </c>
      <c r="L179" s="16" t="str">
        <f aca="false">IFERROR(E179/H179,"")</f>
        <v/>
      </c>
      <c r="M179" s="16" t="str">
        <f aca="false">IFERROR(I179/E179,"")</f>
        <v/>
      </c>
      <c r="N179" s="16" t="str">
        <f aca="false">IF(A179="","",A179-WEEKDAY(A179,3))</f>
        <v/>
      </c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 t="str">
        <f aca="false">IFERROR(G180/F180,"")</f>
        <v/>
      </c>
      <c r="K180" s="16" t="str">
        <f aca="false">IFERROR(E180/G180,"")</f>
        <v/>
      </c>
      <c r="L180" s="16" t="str">
        <f aca="false">IFERROR(E180/H180,"")</f>
        <v/>
      </c>
      <c r="M180" s="16" t="str">
        <f aca="false">IFERROR(I180/E180,"")</f>
        <v/>
      </c>
      <c r="N180" s="16" t="str">
        <f aca="false">IF(A180="","",A180-WEEKDAY(A180,3))</f>
        <v/>
      </c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 t="str">
        <f aca="false">IFERROR(G181/F181,"")</f>
        <v/>
      </c>
      <c r="K181" s="16" t="str">
        <f aca="false">IFERROR(E181/G181,"")</f>
        <v/>
      </c>
      <c r="L181" s="16" t="str">
        <f aca="false">IFERROR(E181/H181,"")</f>
        <v/>
      </c>
      <c r="M181" s="16" t="str">
        <f aca="false">IFERROR(I181/E181,"")</f>
        <v/>
      </c>
      <c r="N181" s="16" t="str">
        <f aca="false">IF(A181="","",A181-WEEKDAY(A181,3))</f>
        <v/>
      </c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 t="str">
        <f aca="false">IFERROR(G182/F182,"")</f>
        <v/>
      </c>
      <c r="K182" s="16" t="str">
        <f aca="false">IFERROR(E182/G182,"")</f>
        <v/>
      </c>
      <c r="L182" s="16" t="str">
        <f aca="false">IFERROR(E182/H182,"")</f>
        <v/>
      </c>
      <c r="M182" s="16" t="str">
        <f aca="false">IFERROR(I182/E182,"")</f>
        <v/>
      </c>
      <c r="N182" s="16" t="str">
        <f aca="false">IF(A182="","",A182-WEEKDAY(A182,3))</f>
        <v/>
      </c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 t="str">
        <f aca="false">IFERROR(G183/F183,"")</f>
        <v/>
      </c>
      <c r="K183" s="16" t="str">
        <f aca="false">IFERROR(E183/G183,"")</f>
        <v/>
      </c>
      <c r="L183" s="16" t="str">
        <f aca="false">IFERROR(E183/H183,"")</f>
        <v/>
      </c>
      <c r="M183" s="16" t="str">
        <f aca="false">IFERROR(I183/E183,"")</f>
        <v/>
      </c>
      <c r="N183" s="16" t="str">
        <f aca="false">IF(A183="","",A183-WEEKDAY(A183,3))</f>
        <v/>
      </c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 t="str">
        <f aca="false">IFERROR(G184/F184,"")</f>
        <v/>
      </c>
      <c r="K184" s="16" t="str">
        <f aca="false">IFERROR(E184/G184,"")</f>
        <v/>
      </c>
      <c r="L184" s="16" t="str">
        <f aca="false">IFERROR(E184/H184,"")</f>
        <v/>
      </c>
      <c r="M184" s="16" t="str">
        <f aca="false">IFERROR(I184/E184,"")</f>
        <v/>
      </c>
      <c r="N184" s="16" t="str">
        <f aca="false">IF(A184="","",A184-WEEKDAY(A184,3))</f>
        <v/>
      </c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 t="str">
        <f aca="false">IFERROR(G185/F185,"")</f>
        <v/>
      </c>
      <c r="K185" s="16" t="str">
        <f aca="false">IFERROR(E185/G185,"")</f>
        <v/>
      </c>
      <c r="L185" s="16" t="str">
        <f aca="false">IFERROR(E185/H185,"")</f>
        <v/>
      </c>
      <c r="M185" s="16" t="str">
        <f aca="false">IFERROR(I185/E185,"")</f>
        <v/>
      </c>
      <c r="N185" s="16" t="str">
        <f aca="false">IF(A185="","",A185-WEEKDAY(A185,3))</f>
        <v/>
      </c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 t="str">
        <f aca="false">IFERROR(G186/F186,"")</f>
        <v/>
      </c>
      <c r="K186" s="16" t="str">
        <f aca="false">IFERROR(E186/G186,"")</f>
        <v/>
      </c>
      <c r="L186" s="16" t="str">
        <f aca="false">IFERROR(E186/H186,"")</f>
        <v/>
      </c>
      <c r="M186" s="16" t="str">
        <f aca="false">IFERROR(I186/E186,"")</f>
        <v/>
      </c>
      <c r="N186" s="16" t="str">
        <f aca="false">IF(A186="","",A186-WEEKDAY(A186,3))</f>
        <v/>
      </c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 t="str">
        <f aca="false">IFERROR(G187/F187,"")</f>
        <v/>
      </c>
      <c r="K187" s="16" t="str">
        <f aca="false">IFERROR(E187/G187,"")</f>
        <v/>
      </c>
      <c r="L187" s="16" t="str">
        <f aca="false">IFERROR(E187/H187,"")</f>
        <v/>
      </c>
      <c r="M187" s="16" t="str">
        <f aca="false">IFERROR(I187/E187,"")</f>
        <v/>
      </c>
      <c r="N187" s="16" t="str">
        <f aca="false">IF(A187="","",A187-WEEKDAY(A187,3))</f>
        <v/>
      </c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 t="str">
        <f aca="false">IFERROR(G188/F188,"")</f>
        <v/>
      </c>
      <c r="K188" s="16" t="str">
        <f aca="false">IFERROR(E188/G188,"")</f>
        <v/>
      </c>
      <c r="L188" s="16" t="str">
        <f aca="false">IFERROR(E188/H188,"")</f>
        <v/>
      </c>
      <c r="M188" s="16" t="str">
        <f aca="false">IFERROR(I188/E188,"")</f>
        <v/>
      </c>
      <c r="N188" s="16" t="str">
        <f aca="false">IF(A188="","",A188-WEEKDAY(A188,3))</f>
        <v/>
      </c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 t="str">
        <f aca="false">IFERROR(G189/F189,"")</f>
        <v/>
      </c>
      <c r="K189" s="16" t="str">
        <f aca="false">IFERROR(E189/G189,"")</f>
        <v/>
      </c>
      <c r="L189" s="16" t="str">
        <f aca="false">IFERROR(E189/H189,"")</f>
        <v/>
      </c>
      <c r="M189" s="16" t="str">
        <f aca="false">IFERROR(I189/E189,"")</f>
        <v/>
      </c>
      <c r="N189" s="16" t="str">
        <f aca="false">IF(A189="","",A189-WEEKDAY(A189,3))</f>
        <v/>
      </c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 t="str">
        <f aca="false">IFERROR(G190/F190,"")</f>
        <v/>
      </c>
      <c r="K190" s="16" t="str">
        <f aca="false">IFERROR(E190/G190,"")</f>
        <v/>
      </c>
      <c r="L190" s="16" t="str">
        <f aca="false">IFERROR(E190/H190,"")</f>
        <v/>
      </c>
      <c r="M190" s="16" t="str">
        <f aca="false">IFERROR(I190/E190,"")</f>
        <v/>
      </c>
      <c r="N190" s="16" t="str">
        <f aca="false">IF(A190="","",A190-WEEKDAY(A190,3))</f>
        <v/>
      </c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 t="str">
        <f aca="false">IFERROR(G191/F191,"")</f>
        <v/>
      </c>
      <c r="K191" s="16" t="str">
        <f aca="false">IFERROR(E191/G191,"")</f>
        <v/>
      </c>
      <c r="L191" s="16" t="str">
        <f aca="false">IFERROR(E191/H191,"")</f>
        <v/>
      </c>
      <c r="M191" s="16" t="str">
        <f aca="false">IFERROR(I191/E191,"")</f>
        <v/>
      </c>
      <c r="N191" s="16" t="str">
        <f aca="false">IF(A191="","",A191-WEEKDAY(A191,3))</f>
        <v/>
      </c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 t="str">
        <f aca="false">IFERROR(G192/F192,"")</f>
        <v/>
      </c>
      <c r="K192" s="16" t="str">
        <f aca="false">IFERROR(E192/G192,"")</f>
        <v/>
      </c>
      <c r="L192" s="16" t="str">
        <f aca="false">IFERROR(E192/H192,"")</f>
        <v/>
      </c>
      <c r="M192" s="16" t="str">
        <f aca="false">IFERROR(I192/E192,"")</f>
        <v/>
      </c>
      <c r="N192" s="16" t="str">
        <f aca="false">IF(A192="","",A192-WEEKDAY(A192,3))</f>
        <v/>
      </c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 t="str">
        <f aca="false">IFERROR(G193/F193,"")</f>
        <v/>
      </c>
      <c r="K193" s="16" t="str">
        <f aca="false">IFERROR(E193/G193,"")</f>
        <v/>
      </c>
      <c r="L193" s="16" t="str">
        <f aca="false">IFERROR(E193/H193,"")</f>
        <v/>
      </c>
      <c r="M193" s="16" t="str">
        <f aca="false">IFERROR(I193/E193,"")</f>
        <v/>
      </c>
      <c r="N193" s="16" t="str">
        <f aca="false">IF(A193="","",A193-WEEKDAY(A193,3))</f>
        <v/>
      </c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 t="str">
        <f aca="false">IFERROR(G194/F194,"")</f>
        <v/>
      </c>
      <c r="K194" s="16" t="str">
        <f aca="false">IFERROR(E194/G194,"")</f>
        <v/>
      </c>
      <c r="L194" s="16" t="str">
        <f aca="false">IFERROR(E194/H194,"")</f>
        <v/>
      </c>
      <c r="M194" s="16" t="str">
        <f aca="false">IFERROR(I194/E194,"")</f>
        <v/>
      </c>
      <c r="N194" s="16" t="str">
        <f aca="false">IF(A194="","",A194-WEEKDAY(A194,3))</f>
        <v/>
      </c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 t="str">
        <f aca="false">IFERROR(G195/F195,"")</f>
        <v/>
      </c>
      <c r="K195" s="16" t="str">
        <f aca="false">IFERROR(E195/G195,"")</f>
        <v/>
      </c>
      <c r="L195" s="16" t="str">
        <f aca="false">IFERROR(E195/H195,"")</f>
        <v/>
      </c>
      <c r="M195" s="16" t="str">
        <f aca="false">IFERROR(I195/E195,"")</f>
        <v/>
      </c>
      <c r="N195" s="16" t="str">
        <f aca="false">IF(A195="","",A195-WEEKDAY(A195,3))</f>
        <v/>
      </c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 t="str">
        <f aca="false">IFERROR(G196/F196,"")</f>
        <v/>
      </c>
      <c r="K196" s="16" t="str">
        <f aca="false">IFERROR(E196/G196,"")</f>
        <v/>
      </c>
      <c r="L196" s="16" t="str">
        <f aca="false">IFERROR(E196/H196,"")</f>
        <v/>
      </c>
      <c r="M196" s="16" t="str">
        <f aca="false">IFERROR(I196/E196,"")</f>
        <v/>
      </c>
      <c r="N196" s="16" t="str">
        <f aca="false">IF(A196="","",A196-WEEKDAY(A196,3))</f>
        <v/>
      </c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 t="str">
        <f aca="false">IFERROR(G197/F197,"")</f>
        <v/>
      </c>
      <c r="K197" s="16" t="str">
        <f aca="false">IFERROR(E197/G197,"")</f>
        <v/>
      </c>
      <c r="L197" s="16" t="str">
        <f aca="false">IFERROR(E197/H197,"")</f>
        <v/>
      </c>
      <c r="M197" s="16" t="str">
        <f aca="false">IFERROR(I197/E197,"")</f>
        <v/>
      </c>
      <c r="N197" s="16" t="str">
        <f aca="false">IF(A197="","",A197-WEEKDAY(A197,3))</f>
        <v/>
      </c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 t="str">
        <f aca="false">IFERROR(G198/F198,"")</f>
        <v/>
      </c>
      <c r="K198" s="16" t="str">
        <f aca="false">IFERROR(E198/G198,"")</f>
        <v/>
      </c>
      <c r="L198" s="16" t="str">
        <f aca="false">IFERROR(E198/H198,"")</f>
        <v/>
      </c>
      <c r="M198" s="16" t="str">
        <f aca="false">IFERROR(I198/E198,"")</f>
        <v/>
      </c>
      <c r="N198" s="16" t="str">
        <f aca="false">IF(A198="","",A198-WEEKDAY(A198,3))</f>
        <v/>
      </c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 t="str">
        <f aca="false">IFERROR(G199/F199,"")</f>
        <v/>
      </c>
      <c r="K199" s="16" t="str">
        <f aca="false">IFERROR(E199/G199,"")</f>
        <v/>
      </c>
      <c r="L199" s="16" t="str">
        <f aca="false">IFERROR(E199/H199,"")</f>
        <v/>
      </c>
      <c r="M199" s="16" t="str">
        <f aca="false">IFERROR(I199/E199,"")</f>
        <v/>
      </c>
      <c r="N199" s="16" t="str">
        <f aca="false">IF(A199="","",A199-WEEKDAY(A199,3))</f>
        <v/>
      </c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 t="str">
        <f aca="false">IFERROR(G200/F200,"")</f>
        <v/>
      </c>
      <c r="K200" s="16" t="str">
        <f aca="false">IFERROR(E200/G200,"")</f>
        <v/>
      </c>
      <c r="L200" s="16" t="str">
        <f aca="false">IFERROR(E200/H200,"")</f>
        <v/>
      </c>
      <c r="M200" s="16" t="str">
        <f aca="false">IFERROR(I200/E200,"")</f>
        <v/>
      </c>
      <c r="N200" s="16" t="str">
        <f aca="false">IF(A200="","",A200-WEEKDAY(A200,3))</f>
        <v/>
      </c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 t="str">
        <f aca="false">IFERROR(G201/F201,"")</f>
        <v/>
      </c>
      <c r="K201" s="16" t="str">
        <f aca="false">IFERROR(E201/G201,"")</f>
        <v/>
      </c>
      <c r="L201" s="16" t="str">
        <f aca="false">IFERROR(E201/H201,"")</f>
        <v/>
      </c>
      <c r="M201" s="16" t="str">
        <f aca="false">IFERROR(I201/E201,"")</f>
        <v/>
      </c>
      <c r="N201" s="16" t="str">
        <f aca="false">IF(A201="","",A201-WEEKDAY(A201,3))</f>
        <v/>
      </c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 t="str">
        <f aca="false">IFERROR(G202/F202,"")</f>
        <v/>
      </c>
      <c r="K202" s="16" t="str">
        <f aca="false">IFERROR(E202/G202,"")</f>
        <v/>
      </c>
      <c r="L202" s="16" t="str">
        <f aca="false">IFERROR(E202/H202,"")</f>
        <v/>
      </c>
      <c r="M202" s="16" t="str">
        <f aca="false">IFERROR(I202/E202,"")</f>
        <v/>
      </c>
      <c r="N202" s="16" t="str">
        <f aca="false">IF(A202="","",A202-WEEKDAY(A202,3))</f>
        <v/>
      </c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 t="str">
        <f aca="false">IFERROR(G203/F203,"")</f>
        <v/>
      </c>
      <c r="K203" s="16" t="str">
        <f aca="false">IFERROR(E203/G203,"")</f>
        <v/>
      </c>
      <c r="L203" s="16" t="str">
        <f aca="false">IFERROR(E203/H203,"")</f>
        <v/>
      </c>
      <c r="M203" s="16" t="str">
        <f aca="false">IFERROR(I203/E203,"")</f>
        <v/>
      </c>
      <c r="N203" s="16" t="str">
        <f aca="false">IF(A203="","",A203-WEEKDAY(A203,3))</f>
        <v/>
      </c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 t="str">
        <f aca="false">IFERROR(G204/F204,"")</f>
        <v/>
      </c>
      <c r="K204" s="16" t="str">
        <f aca="false">IFERROR(E204/G204,"")</f>
        <v/>
      </c>
      <c r="L204" s="16" t="str">
        <f aca="false">IFERROR(E204/H204,"")</f>
        <v/>
      </c>
      <c r="M204" s="16" t="str">
        <f aca="false">IFERROR(I204/E204,"")</f>
        <v/>
      </c>
      <c r="N204" s="16" t="str">
        <f aca="false">IF(A204="","",A204-WEEKDAY(A204,3))</f>
        <v/>
      </c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 t="str">
        <f aca="false">IFERROR(G205/F205,"")</f>
        <v/>
      </c>
      <c r="K205" s="16" t="str">
        <f aca="false">IFERROR(E205/G205,"")</f>
        <v/>
      </c>
      <c r="L205" s="16" t="str">
        <f aca="false">IFERROR(E205/H205,"")</f>
        <v/>
      </c>
      <c r="M205" s="16" t="str">
        <f aca="false">IFERROR(I205/E205,"")</f>
        <v/>
      </c>
      <c r="N205" s="16" t="str">
        <f aca="false">IF(A205="","",A205-WEEKDAY(A205,3))</f>
        <v/>
      </c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 t="str">
        <f aca="false">IFERROR(G206/F206,"")</f>
        <v/>
      </c>
      <c r="K206" s="16" t="str">
        <f aca="false">IFERROR(E206/G206,"")</f>
        <v/>
      </c>
      <c r="L206" s="16" t="str">
        <f aca="false">IFERROR(E206/H206,"")</f>
        <v/>
      </c>
      <c r="M206" s="16" t="str">
        <f aca="false">IFERROR(I206/E206,"")</f>
        <v/>
      </c>
      <c r="N206" s="16" t="str">
        <f aca="false">IF(A206="","",A206-WEEKDAY(A206,3))</f>
        <v/>
      </c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 t="str">
        <f aca="false">IFERROR(G207/F207,"")</f>
        <v/>
      </c>
      <c r="K207" s="16" t="str">
        <f aca="false">IFERROR(E207/G207,"")</f>
        <v/>
      </c>
      <c r="L207" s="16" t="str">
        <f aca="false">IFERROR(E207/H207,"")</f>
        <v/>
      </c>
      <c r="M207" s="16" t="str">
        <f aca="false">IFERROR(I207/E207,"")</f>
        <v/>
      </c>
      <c r="N207" s="16" t="str">
        <f aca="false">IF(A207="","",A207-WEEKDAY(A207,3))</f>
        <v/>
      </c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 t="str">
        <f aca="false">IFERROR(G208/F208,"")</f>
        <v/>
      </c>
      <c r="K208" s="16" t="str">
        <f aca="false">IFERROR(E208/G208,"")</f>
        <v/>
      </c>
      <c r="L208" s="16" t="str">
        <f aca="false">IFERROR(E208/H208,"")</f>
        <v/>
      </c>
      <c r="M208" s="16" t="str">
        <f aca="false">IFERROR(I208/E208,"")</f>
        <v/>
      </c>
      <c r="N208" s="16" t="str">
        <f aca="false">IF(A208="","",A208-WEEKDAY(A208,3))</f>
        <v/>
      </c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 t="str">
        <f aca="false">IFERROR(G209/F209,"")</f>
        <v/>
      </c>
      <c r="K209" s="16" t="str">
        <f aca="false">IFERROR(E209/G209,"")</f>
        <v/>
      </c>
      <c r="L209" s="16" t="str">
        <f aca="false">IFERROR(E209/H209,"")</f>
        <v/>
      </c>
      <c r="M209" s="16" t="str">
        <f aca="false">IFERROR(I209/E209,"")</f>
        <v/>
      </c>
      <c r="N209" s="16" t="str">
        <f aca="false">IF(A209="","",A209-WEEKDAY(A209,3))</f>
        <v/>
      </c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 t="str">
        <f aca="false">IFERROR(G210/F210,"")</f>
        <v/>
      </c>
      <c r="K210" s="16" t="str">
        <f aca="false">IFERROR(E210/G210,"")</f>
        <v/>
      </c>
      <c r="L210" s="16" t="str">
        <f aca="false">IFERROR(E210/H210,"")</f>
        <v/>
      </c>
      <c r="M210" s="16" t="str">
        <f aca="false">IFERROR(I210/E210,"")</f>
        <v/>
      </c>
      <c r="N210" s="16" t="str">
        <f aca="false">IF(A210="","",A210-WEEKDAY(A210,3))</f>
        <v/>
      </c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 t="str">
        <f aca="false">IFERROR(G211/F211,"")</f>
        <v/>
      </c>
      <c r="K211" s="16" t="str">
        <f aca="false">IFERROR(E211/G211,"")</f>
        <v/>
      </c>
      <c r="L211" s="16" t="str">
        <f aca="false">IFERROR(E211/H211,"")</f>
        <v/>
      </c>
      <c r="M211" s="16" t="str">
        <f aca="false">IFERROR(I211/E211,"")</f>
        <v/>
      </c>
      <c r="N211" s="16" t="str">
        <f aca="false">IF(A211="","",A211-WEEKDAY(A211,3))</f>
        <v/>
      </c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 t="str">
        <f aca="false">IFERROR(G212/F212,"")</f>
        <v/>
      </c>
      <c r="K212" s="16" t="str">
        <f aca="false">IFERROR(E212/G212,"")</f>
        <v/>
      </c>
      <c r="L212" s="16" t="str">
        <f aca="false">IFERROR(E212/H212,"")</f>
        <v/>
      </c>
      <c r="M212" s="16" t="str">
        <f aca="false">IFERROR(I212/E212,"")</f>
        <v/>
      </c>
      <c r="N212" s="16" t="str">
        <f aca="false">IF(A212="","",A212-WEEKDAY(A212,3))</f>
        <v/>
      </c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 t="str">
        <f aca="false">IFERROR(G213/F213,"")</f>
        <v/>
      </c>
      <c r="K213" s="16" t="str">
        <f aca="false">IFERROR(E213/G213,"")</f>
        <v/>
      </c>
      <c r="L213" s="16" t="str">
        <f aca="false">IFERROR(E213/H213,"")</f>
        <v/>
      </c>
      <c r="M213" s="16" t="str">
        <f aca="false">IFERROR(I213/E213,"")</f>
        <v/>
      </c>
      <c r="N213" s="16" t="str">
        <f aca="false">IF(A213="","",A213-WEEKDAY(A213,3))</f>
        <v/>
      </c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 t="str">
        <f aca="false">IFERROR(G214/F214,"")</f>
        <v/>
      </c>
      <c r="K214" s="16" t="str">
        <f aca="false">IFERROR(E214/G214,"")</f>
        <v/>
      </c>
      <c r="L214" s="16" t="str">
        <f aca="false">IFERROR(E214/H214,"")</f>
        <v/>
      </c>
      <c r="M214" s="16" t="str">
        <f aca="false">IFERROR(I214/E214,"")</f>
        <v/>
      </c>
      <c r="N214" s="16" t="str">
        <f aca="false">IF(A214="","",A214-WEEKDAY(A214,3))</f>
        <v/>
      </c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 t="str">
        <f aca="false">IFERROR(G215/F215,"")</f>
        <v/>
      </c>
      <c r="K215" s="16" t="str">
        <f aca="false">IFERROR(E215/G215,"")</f>
        <v/>
      </c>
      <c r="L215" s="16" t="str">
        <f aca="false">IFERROR(E215/H215,"")</f>
        <v/>
      </c>
      <c r="M215" s="16" t="str">
        <f aca="false">IFERROR(I215/E215,"")</f>
        <v/>
      </c>
      <c r="N215" s="16" t="str">
        <f aca="false">IF(A215="","",A215-WEEKDAY(A215,3))</f>
        <v/>
      </c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 t="str">
        <f aca="false">IFERROR(G216/F216,"")</f>
        <v/>
      </c>
      <c r="K216" s="16" t="str">
        <f aca="false">IFERROR(E216/G216,"")</f>
        <v/>
      </c>
      <c r="L216" s="16" t="str">
        <f aca="false">IFERROR(E216/H216,"")</f>
        <v/>
      </c>
      <c r="M216" s="16" t="str">
        <f aca="false">IFERROR(I216/E216,"")</f>
        <v/>
      </c>
      <c r="N216" s="16" t="str">
        <f aca="false">IF(A216="","",A216-WEEKDAY(A216,3))</f>
        <v/>
      </c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 t="str">
        <f aca="false">IFERROR(G217/F217,"")</f>
        <v/>
      </c>
      <c r="K217" s="16" t="str">
        <f aca="false">IFERROR(E217/G217,"")</f>
        <v/>
      </c>
      <c r="L217" s="16" t="str">
        <f aca="false">IFERROR(E217/H217,"")</f>
        <v/>
      </c>
      <c r="M217" s="16" t="str">
        <f aca="false">IFERROR(I217/E217,"")</f>
        <v/>
      </c>
      <c r="N217" s="16" t="str">
        <f aca="false">IF(A217="","",A217-WEEKDAY(A217,3))</f>
        <v/>
      </c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 t="str">
        <f aca="false">IFERROR(G218/F218,"")</f>
        <v/>
      </c>
      <c r="K218" s="16" t="str">
        <f aca="false">IFERROR(E218/G218,"")</f>
        <v/>
      </c>
      <c r="L218" s="16" t="str">
        <f aca="false">IFERROR(E218/H218,"")</f>
        <v/>
      </c>
      <c r="M218" s="16" t="str">
        <f aca="false">IFERROR(I218/E218,"")</f>
        <v/>
      </c>
      <c r="N218" s="16" t="str">
        <f aca="false">IF(A218="","",A218-WEEKDAY(A218,3))</f>
        <v/>
      </c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 t="str">
        <f aca="false">IFERROR(G219/F219,"")</f>
        <v/>
      </c>
      <c r="K219" s="16" t="str">
        <f aca="false">IFERROR(E219/G219,"")</f>
        <v/>
      </c>
      <c r="L219" s="16" t="str">
        <f aca="false">IFERROR(E219/H219,"")</f>
        <v/>
      </c>
      <c r="M219" s="16" t="str">
        <f aca="false">IFERROR(I219/E219,"")</f>
        <v/>
      </c>
      <c r="N219" s="16" t="str">
        <f aca="false">IF(A219="","",A219-WEEKDAY(A219,3))</f>
        <v/>
      </c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 t="str">
        <f aca="false">IFERROR(G220/F220,"")</f>
        <v/>
      </c>
      <c r="K220" s="16" t="str">
        <f aca="false">IFERROR(E220/G220,"")</f>
        <v/>
      </c>
      <c r="L220" s="16" t="str">
        <f aca="false">IFERROR(E220/H220,"")</f>
        <v/>
      </c>
      <c r="M220" s="16" t="str">
        <f aca="false">IFERROR(I220/E220,"")</f>
        <v/>
      </c>
      <c r="N220" s="16" t="str">
        <f aca="false">IF(A220="","",A220-WEEKDAY(A220,3))</f>
        <v/>
      </c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 t="str">
        <f aca="false">IFERROR(G221/F221,"")</f>
        <v/>
      </c>
      <c r="K221" s="16" t="str">
        <f aca="false">IFERROR(E221/G221,"")</f>
        <v/>
      </c>
      <c r="L221" s="16" t="str">
        <f aca="false">IFERROR(E221/H221,"")</f>
        <v/>
      </c>
      <c r="M221" s="16" t="str">
        <f aca="false">IFERROR(I221/E221,"")</f>
        <v/>
      </c>
      <c r="N221" s="16" t="str">
        <f aca="false">IF(A221="","",A221-WEEKDAY(A221,3))</f>
        <v/>
      </c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 t="str">
        <f aca="false">IFERROR(G222/F222,"")</f>
        <v/>
      </c>
      <c r="K222" s="16" t="str">
        <f aca="false">IFERROR(E222/G222,"")</f>
        <v/>
      </c>
      <c r="L222" s="16" t="str">
        <f aca="false">IFERROR(E222/H222,"")</f>
        <v/>
      </c>
      <c r="M222" s="16" t="str">
        <f aca="false">IFERROR(I222/E222,"")</f>
        <v/>
      </c>
      <c r="N222" s="16" t="str">
        <f aca="false">IF(A222="","",A222-WEEKDAY(A222,3))</f>
        <v/>
      </c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 t="str">
        <f aca="false">IFERROR(G223/F223,"")</f>
        <v/>
      </c>
      <c r="K223" s="16" t="str">
        <f aca="false">IFERROR(E223/G223,"")</f>
        <v/>
      </c>
      <c r="L223" s="16" t="str">
        <f aca="false">IFERROR(E223/H223,"")</f>
        <v/>
      </c>
      <c r="M223" s="16" t="str">
        <f aca="false">IFERROR(I223/E223,"")</f>
        <v/>
      </c>
      <c r="N223" s="16" t="str">
        <f aca="false">IF(A223="","",A223-WEEKDAY(A223,3))</f>
        <v/>
      </c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 t="str">
        <f aca="false">IFERROR(G224/F224,"")</f>
        <v/>
      </c>
      <c r="K224" s="16" t="str">
        <f aca="false">IFERROR(E224/G224,"")</f>
        <v/>
      </c>
      <c r="L224" s="16" t="str">
        <f aca="false">IFERROR(E224/H224,"")</f>
        <v/>
      </c>
      <c r="M224" s="16" t="str">
        <f aca="false">IFERROR(I224/E224,"")</f>
        <v/>
      </c>
      <c r="N224" s="16" t="str">
        <f aca="false">IF(A224="","",A224-WEEKDAY(A224,3))</f>
        <v/>
      </c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 t="str">
        <f aca="false">IFERROR(G225/F225,"")</f>
        <v/>
      </c>
      <c r="K225" s="16" t="str">
        <f aca="false">IFERROR(E225/G225,"")</f>
        <v/>
      </c>
      <c r="L225" s="16" t="str">
        <f aca="false">IFERROR(E225/H225,"")</f>
        <v/>
      </c>
      <c r="M225" s="16" t="str">
        <f aca="false">IFERROR(I225/E225,"")</f>
        <v/>
      </c>
      <c r="N225" s="16" t="str">
        <f aca="false">IF(A225="","",A225-WEEKDAY(A225,3))</f>
        <v/>
      </c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 t="str">
        <f aca="false">IFERROR(G226/F226,"")</f>
        <v/>
      </c>
      <c r="K226" s="16" t="str">
        <f aca="false">IFERROR(E226/G226,"")</f>
        <v/>
      </c>
      <c r="L226" s="16" t="str">
        <f aca="false">IFERROR(E226/H226,"")</f>
        <v/>
      </c>
      <c r="M226" s="16" t="str">
        <f aca="false">IFERROR(I226/E226,"")</f>
        <v/>
      </c>
      <c r="N226" s="16" t="str">
        <f aca="false">IF(A226="","",A226-WEEKDAY(A226,3))</f>
        <v/>
      </c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 t="str">
        <f aca="false">IFERROR(G227/F227,"")</f>
        <v/>
      </c>
      <c r="K227" s="16" t="str">
        <f aca="false">IFERROR(E227/G227,"")</f>
        <v/>
      </c>
      <c r="L227" s="16" t="str">
        <f aca="false">IFERROR(E227/H227,"")</f>
        <v/>
      </c>
      <c r="M227" s="16" t="str">
        <f aca="false">IFERROR(I227/E227,"")</f>
        <v/>
      </c>
      <c r="N227" s="16" t="str">
        <f aca="false">IF(A227="","",A227-WEEKDAY(A227,3))</f>
        <v/>
      </c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 t="str">
        <f aca="false">IFERROR(G228/F228,"")</f>
        <v/>
      </c>
      <c r="K228" s="16" t="str">
        <f aca="false">IFERROR(E228/G228,"")</f>
        <v/>
      </c>
      <c r="L228" s="16" t="str">
        <f aca="false">IFERROR(E228/H228,"")</f>
        <v/>
      </c>
      <c r="M228" s="16" t="str">
        <f aca="false">IFERROR(I228/E228,"")</f>
        <v/>
      </c>
      <c r="N228" s="16" t="str">
        <f aca="false">IF(A228="","",A228-WEEKDAY(A228,3))</f>
        <v/>
      </c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 t="str">
        <f aca="false">IFERROR(G229/F229,"")</f>
        <v/>
      </c>
      <c r="K229" s="16" t="str">
        <f aca="false">IFERROR(E229/G229,"")</f>
        <v/>
      </c>
      <c r="L229" s="16" t="str">
        <f aca="false">IFERROR(E229/H229,"")</f>
        <v/>
      </c>
      <c r="M229" s="16" t="str">
        <f aca="false">IFERROR(I229/E229,"")</f>
        <v/>
      </c>
      <c r="N229" s="16" t="str">
        <f aca="false">IF(A229="","",A229-WEEKDAY(A229,3))</f>
        <v/>
      </c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 t="str">
        <f aca="false">IFERROR(G230/F230,"")</f>
        <v/>
      </c>
      <c r="K230" s="16" t="str">
        <f aca="false">IFERROR(E230/G230,"")</f>
        <v/>
      </c>
      <c r="L230" s="16" t="str">
        <f aca="false">IFERROR(E230/H230,"")</f>
        <v/>
      </c>
      <c r="M230" s="16" t="str">
        <f aca="false">IFERROR(I230/E230,"")</f>
        <v/>
      </c>
      <c r="N230" s="16" t="str">
        <f aca="false">IF(A230="","",A230-WEEKDAY(A230,3))</f>
        <v/>
      </c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 t="str">
        <f aca="false">IFERROR(G231/F231,"")</f>
        <v/>
      </c>
      <c r="K231" s="16" t="str">
        <f aca="false">IFERROR(E231/G231,"")</f>
        <v/>
      </c>
      <c r="L231" s="16" t="str">
        <f aca="false">IFERROR(E231/H231,"")</f>
        <v/>
      </c>
      <c r="M231" s="16" t="str">
        <f aca="false">IFERROR(I231/E231,"")</f>
        <v/>
      </c>
      <c r="N231" s="16" t="str">
        <f aca="false">IF(A231="","",A231-WEEKDAY(A231,3))</f>
        <v/>
      </c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 t="str">
        <f aca="false">IFERROR(G232/F232,"")</f>
        <v/>
      </c>
      <c r="K232" s="16" t="str">
        <f aca="false">IFERROR(E232/G232,"")</f>
        <v/>
      </c>
      <c r="L232" s="16" t="str">
        <f aca="false">IFERROR(E232/H232,"")</f>
        <v/>
      </c>
      <c r="M232" s="16" t="str">
        <f aca="false">IFERROR(I232/E232,"")</f>
        <v/>
      </c>
      <c r="N232" s="16" t="str">
        <f aca="false">IF(A232="","",A232-WEEKDAY(A232,3))</f>
        <v/>
      </c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 t="str">
        <f aca="false">IFERROR(G233/F233,"")</f>
        <v/>
      </c>
      <c r="K233" s="16" t="str">
        <f aca="false">IFERROR(E233/G233,"")</f>
        <v/>
      </c>
      <c r="L233" s="16" t="str">
        <f aca="false">IFERROR(E233/H233,"")</f>
        <v/>
      </c>
      <c r="M233" s="16" t="str">
        <f aca="false">IFERROR(I233/E233,"")</f>
        <v/>
      </c>
      <c r="N233" s="16" t="str">
        <f aca="false">IF(A233="","",A233-WEEKDAY(A233,3))</f>
        <v/>
      </c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 t="str">
        <f aca="false">IFERROR(G234/F234,"")</f>
        <v/>
      </c>
      <c r="K234" s="16" t="str">
        <f aca="false">IFERROR(E234/G234,"")</f>
        <v/>
      </c>
      <c r="L234" s="16" t="str">
        <f aca="false">IFERROR(E234/H234,"")</f>
        <v/>
      </c>
      <c r="M234" s="16" t="str">
        <f aca="false">IFERROR(I234/E234,"")</f>
        <v/>
      </c>
      <c r="N234" s="16" t="str">
        <f aca="false">IF(A234="","",A234-WEEKDAY(A234,3))</f>
        <v/>
      </c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 t="str">
        <f aca="false">IFERROR(G235/F235,"")</f>
        <v/>
      </c>
      <c r="K235" s="16" t="str">
        <f aca="false">IFERROR(E235/G235,"")</f>
        <v/>
      </c>
      <c r="L235" s="16" t="str">
        <f aca="false">IFERROR(E235/H235,"")</f>
        <v/>
      </c>
      <c r="M235" s="16" t="str">
        <f aca="false">IFERROR(I235/E235,"")</f>
        <v/>
      </c>
      <c r="N235" s="16" t="str">
        <f aca="false">IF(A235="","",A235-WEEKDAY(A235,3))</f>
        <v/>
      </c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 t="str">
        <f aca="false">IFERROR(G236/F236,"")</f>
        <v/>
      </c>
      <c r="K236" s="16" t="str">
        <f aca="false">IFERROR(E236/G236,"")</f>
        <v/>
      </c>
      <c r="L236" s="16" t="str">
        <f aca="false">IFERROR(E236/H236,"")</f>
        <v/>
      </c>
      <c r="M236" s="16" t="str">
        <f aca="false">IFERROR(I236/E236,"")</f>
        <v/>
      </c>
      <c r="N236" s="16" t="str">
        <f aca="false">IF(A236="","",A236-WEEKDAY(A236,3))</f>
        <v/>
      </c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 t="str">
        <f aca="false">IFERROR(G237/F237,"")</f>
        <v/>
      </c>
      <c r="K237" s="16" t="str">
        <f aca="false">IFERROR(E237/G237,"")</f>
        <v/>
      </c>
      <c r="L237" s="16" t="str">
        <f aca="false">IFERROR(E237/H237,"")</f>
        <v/>
      </c>
      <c r="M237" s="16" t="str">
        <f aca="false">IFERROR(I237/E237,"")</f>
        <v/>
      </c>
      <c r="N237" s="16" t="str">
        <f aca="false">IF(A237="","",A237-WEEKDAY(A237,3))</f>
        <v/>
      </c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 t="str">
        <f aca="false">IFERROR(G238/F238,"")</f>
        <v/>
      </c>
      <c r="K238" s="16" t="str">
        <f aca="false">IFERROR(E238/G238,"")</f>
        <v/>
      </c>
      <c r="L238" s="16" t="str">
        <f aca="false">IFERROR(E238/H238,"")</f>
        <v/>
      </c>
      <c r="M238" s="16" t="str">
        <f aca="false">IFERROR(I238/E238,"")</f>
        <v/>
      </c>
      <c r="N238" s="16" t="str">
        <f aca="false">IF(A238="","",A238-WEEKDAY(A238,3))</f>
        <v/>
      </c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 t="str">
        <f aca="false">IFERROR(G239/F239,"")</f>
        <v/>
      </c>
      <c r="K239" s="16" t="str">
        <f aca="false">IFERROR(E239/G239,"")</f>
        <v/>
      </c>
      <c r="L239" s="16" t="str">
        <f aca="false">IFERROR(E239/H239,"")</f>
        <v/>
      </c>
      <c r="M239" s="16" t="str">
        <f aca="false">IFERROR(I239/E239,"")</f>
        <v/>
      </c>
      <c r="N239" s="16" t="str">
        <f aca="false">IF(A239="","",A239-WEEKDAY(A239,3))</f>
        <v/>
      </c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 t="str">
        <f aca="false">IFERROR(G240/F240,"")</f>
        <v/>
      </c>
      <c r="K240" s="16" t="str">
        <f aca="false">IFERROR(E240/G240,"")</f>
        <v/>
      </c>
      <c r="L240" s="16" t="str">
        <f aca="false">IFERROR(E240/H240,"")</f>
        <v/>
      </c>
      <c r="M240" s="16" t="str">
        <f aca="false">IFERROR(I240/E240,"")</f>
        <v/>
      </c>
      <c r="N240" s="16" t="str">
        <f aca="false">IF(A240="","",A240-WEEKDAY(A240,3))</f>
        <v/>
      </c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 t="str">
        <f aca="false">IFERROR(G241/F241,"")</f>
        <v/>
      </c>
      <c r="K241" s="16" t="str">
        <f aca="false">IFERROR(E241/G241,"")</f>
        <v/>
      </c>
      <c r="L241" s="16" t="str">
        <f aca="false">IFERROR(E241/H241,"")</f>
        <v/>
      </c>
      <c r="M241" s="16" t="str">
        <f aca="false">IFERROR(I241/E241,"")</f>
        <v/>
      </c>
      <c r="N241" s="16" t="str">
        <f aca="false">IF(A241="","",A241-WEEKDAY(A241,3))</f>
        <v/>
      </c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 t="str">
        <f aca="false">IFERROR(G242/F242,"")</f>
        <v/>
      </c>
      <c r="K242" s="16" t="str">
        <f aca="false">IFERROR(E242/G242,"")</f>
        <v/>
      </c>
      <c r="L242" s="16" t="str">
        <f aca="false">IFERROR(E242/H242,"")</f>
        <v/>
      </c>
      <c r="M242" s="16" t="str">
        <f aca="false">IFERROR(I242/E242,"")</f>
        <v/>
      </c>
      <c r="N242" s="16" t="str">
        <f aca="false">IF(A242="","",A242-WEEKDAY(A242,3))</f>
        <v/>
      </c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 t="str">
        <f aca="false">IFERROR(G243/F243,"")</f>
        <v/>
      </c>
      <c r="K243" s="16" t="str">
        <f aca="false">IFERROR(E243/G243,"")</f>
        <v/>
      </c>
      <c r="L243" s="16" t="str">
        <f aca="false">IFERROR(E243/H243,"")</f>
        <v/>
      </c>
      <c r="M243" s="16" t="str">
        <f aca="false">IFERROR(I243/E243,"")</f>
        <v/>
      </c>
      <c r="N243" s="16" t="str">
        <f aca="false">IF(A243="","",A243-WEEKDAY(A243,3))</f>
        <v/>
      </c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 t="str">
        <f aca="false">IFERROR(G244/F244,"")</f>
        <v/>
      </c>
      <c r="K244" s="16" t="str">
        <f aca="false">IFERROR(E244/G244,"")</f>
        <v/>
      </c>
      <c r="L244" s="16" t="str">
        <f aca="false">IFERROR(E244/H244,"")</f>
        <v/>
      </c>
      <c r="M244" s="16" t="str">
        <f aca="false">IFERROR(I244/E244,"")</f>
        <v/>
      </c>
      <c r="N244" s="16" t="str">
        <f aca="false">IF(A244="","",A244-WEEKDAY(A244,3))</f>
        <v/>
      </c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 t="str">
        <f aca="false">IFERROR(G245/F245,"")</f>
        <v/>
      </c>
      <c r="K245" s="16" t="str">
        <f aca="false">IFERROR(E245/G245,"")</f>
        <v/>
      </c>
      <c r="L245" s="16" t="str">
        <f aca="false">IFERROR(E245/H245,"")</f>
        <v/>
      </c>
      <c r="M245" s="16" t="str">
        <f aca="false">IFERROR(I245/E245,"")</f>
        <v/>
      </c>
      <c r="N245" s="16" t="str">
        <f aca="false">IF(A245="","",A245-WEEKDAY(A245,3))</f>
        <v/>
      </c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 t="str">
        <f aca="false">IFERROR(G246/F246,"")</f>
        <v/>
      </c>
      <c r="K246" s="16" t="str">
        <f aca="false">IFERROR(E246/G246,"")</f>
        <v/>
      </c>
      <c r="L246" s="16" t="str">
        <f aca="false">IFERROR(E246/H246,"")</f>
        <v/>
      </c>
      <c r="M246" s="16" t="str">
        <f aca="false">IFERROR(I246/E246,"")</f>
        <v/>
      </c>
      <c r="N246" s="16" t="str">
        <f aca="false">IF(A246="","",A246-WEEKDAY(A246,3))</f>
        <v/>
      </c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 t="str">
        <f aca="false">IFERROR(G247/F247,"")</f>
        <v/>
      </c>
      <c r="K247" s="16" t="str">
        <f aca="false">IFERROR(E247/G247,"")</f>
        <v/>
      </c>
      <c r="L247" s="16" t="str">
        <f aca="false">IFERROR(E247/H247,"")</f>
        <v/>
      </c>
      <c r="M247" s="16" t="str">
        <f aca="false">IFERROR(I247/E247,"")</f>
        <v/>
      </c>
      <c r="N247" s="16" t="str">
        <f aca="false">IF(A247="","",A247-WEEKDAY(A247,3))</f>
        <v/>
      </c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 t="str">
        <f aca="false">IFERROR(G248/F248,"")</f>
        <v/>
      </c>
      <c r="K248" s="16" t="str">
        <f aca="false">IFERROR(E248/G248,"")</f>
        <v/>
      </c>
      <c r="L248" s="16" t="str">
        <f aca="false">IFERROR(E248/H248,"")</f>
        <v/>
      </c>
      <c r="M248" s="16" t="str">
        <f aca="false">IFERROR(I248/E248,"")</f>
        <v/>
      </c>
      <c r="N248" s="16" t="str">
        <f aca="false">IF(A248="","",A248-WEEKDAY(A248,3))</f>
        <v/>
      </c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 t="str">
        <f aca="false">IFERROR(G249/F249,"")</f>
        <v/>
      </c>
      <c r="K249" s="16" t="str">
        <f aca="false">IFERROR(E249/G249,"")</f>
        <v/>
      </c>
      <c r="L249" s="16" t="str">
        <f aca="false">IFERROR(E249/H249,"")</f>
        <v/>
      </c>
      <c r="M249" s="16" t="str">
        <f aca="false">IFERROR(I249/E249,"")</f>
        <v/>
      </c>
      <c r="N249" s="16" t="str">
        <f aca="false">IF(A249="","",A249-WEEKDAY(A249,3))</f>
        <v/>
      </c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 t="str">
        <f aca="false">IFERROR(G250/F250,"")</f>
        <v/>
      </c>
      <c r="K250" s="16" t="str">
        <f aca="false">IFERROR(E250/G250,"")</f>
        <v/>
      </c>
      <c r="L250" s="16" t="str">
        <f aca="false">IFERROR(E250/H250,"")</f>
        <v/>
      </c>
      <c r="M250" s="16" t="str">
        <f aca="false">IFERROR(I250/E250,"")</f>
        <v/>
      </c>
      <c r="N250" s="16" t="str">
        <f aca="false">IF(A250="","",A250-WEEKDAY(A250,3))</f>
        <v/>
      </c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 t="str">
        <f aca="false">IFERROR(G251/F251,"")</f>
        <v/>
      </c>
      <c r="K251" s="16" t="str">
        <f aca="false">IFERROR(E251/G251,"")</f>
        <v/>
      </c>
      <c r="L251" s="16" t="str">
        <f aca="false">IFERROR(E251/H251,"")</f>
        <v/>
      </c>
      <c r="M251" s="16" t="str">
        <f aca="false">IFERROR(I251/E251,"")</f>
        <v/>
      </c>
      <c r="N251" s="16" t="str">
        <f aca="false">IF(A251="","",A251-WEEKDAY(A251,3))</f>
        <v/>
      </c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 t="str">
        <f aca="false">IFERROR(G252/F252,"")</f>
        <v/>
      </c>
      <c r="K252" s="16" t="str">
        <f aca="false">IFERROR(E252/G252,"")</f>
        <v/>
      </c>
      <c r="L252" s="16" t="str">
        <f aca="false">IFERROR(E252/H252,"")</f>
        <v/>
      </c>
      <c r="M252" s="16" t="str">
        <f aca="false">IFERROR(I252/E252,"")</f>
        <v/>
      </c>
      <c r="N252" s="16" t="str">
        <f aca="false">IF(A252="","",A252-WEEKDAY(A252,3))</f>
        <v/>
      </c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 t="str">
        <f aca="false">IFERROR(G253/F253,"")</f>
        <v/>
      </c>
      <c r="K253" s="16" t="str">
        <f aca="false">IFERROR(E253/G253,"")</f>
        <v/>
      </c>
      <c r="L253" s="16" t="str">
        <f aca="false">IFERROR(E253/H253,"")</f>
        <v/>
      </c>
      <c r="M253" s="16" t="str">
        <f aca="false">IFERROR(I253/E253,"")</f>
        <v/>
      </c>
      <c r="N253" s="16" t="str">
        <f aca="false">IF(A253="","",A253-WEEKDAY(A253,3))</f>
        <v/>
      </c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 t="str">
        <f aca="false">IFERROR(G254/F254,"")</f>
        <v/>
      </c>
      <c r="K254" s="16" t="str">
        <f aca="false">IFERROR(E254/G254,"")</f>
        <v/>
      </c>
      <c r="L254" s="16" t="str">
        <f aca="false">IFERROR(E254/H254,"")</f>
        <v/>
      </c>
      <c r="M254" s="16" t="str">
        <f aca="false">IFERROR(I254/E254,"")</f>
        <v/>
      </c>
      <c r="N254" s="16" t="str">
        <f aca="false">IF(A254="","",A254-WEEKDAY(A254,3))</f>
        <v/>
      </c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 t="str">
        <f aca="false">IFERROR(G255/F255,"")</f>
        <v/>
      </c>
      <c r="K255" s="16" t="str">
        <f aca="false">IFERROR(E255/G255,"")</f>
        <v/>
      </c>
      <c r="L255" s="16" t="str">
        <f aca="false">IFERROR(E255/H255,"")</f>
        <v/>
      </c>
      <c r="M255" s="16" t="str">
        <f aca="false">IFERROR(I255/E255,"")</f>
        <v/>
      </c>
      <c r="N255" s="16" t="str">
        <f aca="false">IF(A255="","",A255-WEEKDAY(A255,3))</f>
        <v/>
      </c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 t="str">
        <f aca="false">IFERROR(G256/F256,"")</f>
        <v/>
      </c>
      <c r="K256" s="16" t="str">
        <f aca="false">IFERROR(E256/G256,"")</f>
        <v/>
      </c>
      <c r="L256" s="16" t="str">
        <f aca="false">IFERROR(E256/H256,"")</f>
        <v/>
      </c>
      <c r="M256" s="16" t="str">
        <f aca="false">IFERROR(I256/E256,"")</f>
        <v/>
      </c>
      <c r="N256" s="16" t="str">
        <f aca="false">IF(A256="","",A256-WEEKDAY(A256,3))</f>
        <v/>
      </c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 t="str">
        <f aca="false">IFERROR(G257/F257,"")</f>
        <v/>
      </c>
      <c r="K257" s="16" t="str">
        <f aca="false">IFERROR(E257/G257,"")</f>
        <v/>
      </c>
      <c r="L257" s="16" t="str">
        <f aca="false">IFERROR(E257/H257,"")</f>
        <v/>
      </c>
      <c r="M257" s="16" t="str">
        <f aca="false">IFERROR(I257/E257,"")</f>
        <v/>
      </c>
      <c r="N257" s="16" t="str">
        <f aca="false">IF(A257="","",A257-WEEKDAY(A257,3))</f>
        <v/>
      </c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 t="str">
        <f aca="false">IFERROR(G258/F258,"")</f>
        <v/>
      </c>
      <c r="K258" s="16" t="str">
        <f aca="false">IFERROR(E258/G258,"")</f>
        <v/>
      </c>
      <c r="L258" s="16" t="str">
        <f aca="false">IFERROR(E258/H258,"")</f>
        <v/>
      </c>
      <c r="M258" s="16" t="str">
        <f aca="false">IFERROR(I258/E258,"")</f>
        <v/>
      </c>
      <c r="N258" s="16" t="str">
        <f aca="false">IF(A258="","",A258-WEEKDAY(A258,3))</f>
        <v/>
      </c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 t="str">
        <f aca="false">IFERROR(G259/F259,"")</f>
        <v/>
      </c>
      <c r="K259" s="16" t="str">
        <f aca="false">IFERROR(E259/G259,"")</f>
        <v/>
      </c>
      <c r="L259" s="16" t="str">
        <f aca="false">IFERROR(E259/H259,"")</f>
        <v/>
      </c>
      <c r="M259" s="16" t="str">
        <f aca="false">IFERROR(I259/E259,"")</f>
        <v/>
      </c>
      <c r="N259" s="16" t="str">
        <f aca="false">IF(A259="","",A259-WEEKDAY(A259,3))</f>
        <v/>
      </c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 t="str">
        <f aca="false">IFERROR(G260/F260,"")</f>
        <v/>
      </c>
      <c r="K260" s="16" t="str">
        <f aca="false">IFERROR(E260/G260,"")</f>
        <v/>
      </c>
      <c r="L260" s="16" t="str">
        <f aca="false">IFERROR(E260/H260,"")</f>
        <v/>
      </c>
      <c r="M260" s="16" t="str">
        <f aca="false">IFERROR(I260/E260,"")</f>
        <v/>
      </c>
      <c r="N260" s="16" t="str">
        <f aca="false">IF(A260="","",A260-WEEKDAY(A260,3))</f>
        <v/>
      </c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 t="str">
        <f aca="false">IFERROR(G261/F261,"")</f>
        <v/>
      </c>
      <c r="K261" s="16" t="str">
        <f aca="false">IFERROR(E261/G261,"")</f>
        <v/>
      </c>
      <c r="L261" s="16" t="str">
        <f aca="false">IFERROR(E261/H261,"")</f>
        <v/>
      </c>
      <c r="M261" s="16" t="str">
        <f aca="false">IFERROR(I261/E261,"")</f>
        <v/>
      </c>
      <c r="N261" s="16" t="str">
        <f aca="false">IF(A261="","",A261-WEEKDAY(A261,3))</f>
        <v/>
      </c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 t="str">
        <f aca="false">IFERROR(G262/F262,"")</f>
        <v/>
      </c>
      <c r="K262" s="16" t="str">
        <f aca="false">IFERROR(E262/G262,"")</f>
        <v/>
      </c>
      <c r="L262" s="16" t="str">
        <f aca="false">IFERROR(E262/H262,"")</f>
        <v/>
      </c>
      <c r="M262" s="16" t="str">
        <f aca="false">IFERROR(I262/E262,"")</f>
        <v/>
      </c>
      <c r="N262" s="16" t="str">
        <f aca="false">IF(A262="","",A262-WEEKDAY(A262,3))</f>
        <v/>
      </c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 t="str">
        <f aca="false">IFERROR(G263/F263,"")</f>
        <v/>
      </c>
      <c r="K263" s="16" t="str">
        <f aca="false">IFERROR(E263/G263,"")</f>
        <v/>
      </c>
      <c r="L263" s="16" t="str">
        <f aca="false">IFERROR(E263/H263,"")</f>
        <v/>
      </c>
      <c r="M263" s="16" t="str">
        <f aca="false">IFERROR(I263/E263,"")</f>
        <v/>
      </c>
      <c r="N263" s="16" t="str">
        <f aca="false">IF(A263="","",A263-WEEKDAY(A263,3))</f>
        <v/>
      </c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 t="str">
        <f aca="false">IFERROR(G264/F264,"")</f>
        <v/>
      </c>
      <c r="K264" s="16" t="str">
        <f aca="false">IFERROR(E264/G264,"")</f>
        <v/>
      </c>
      <c r="L264" s="16" t="str">
        <f aca="false">IFERROR(E264/H264,"")</f>
        <v/>
      </c>
      <c r="M264" s="16" t="str">
        <f aca="false">IFERROR(I264/E264,"")</f>
        <v/>
      </c>
      <c r="N264" s="16" t="str">
        <f aca="false">IF(A264="","",A264-WEEKDAY(A264,3))</f>
        <v/>
      </c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 t="str">
        <f aca="false">IFERROR(G265/F265,"")</f>
        <v/>
      </c>
      <c r="K265" s="16" t="str">
        <f aca="false">IFERROR(E265/G265,"")</f>
        <v/>
      </c>
      <c r="L265" s="16" t="str">
        <f aca="false">IFERROR(E265/H265,"")</f>
        <v/>
      </c>
      <c r="M265" s="16" t="str">
        <f aca="false">IFERROR(I265/E265,"")</f>
        <v/>
      </c>
      <c r="N265" s="16" t="str">
        <f aca="false">IF(A265="","",A265-WEEKDAY(A265,3))</f>
        <v/>
      </c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 t="str">
        <f aca="false">IFERROR(G266/F266,"")</f>
        <v/>
      </c>
      <c r="K266" s="16" t="str">
        <f aca="false">IFERROR(E266/G266,"")</f>
        <v/>
      </c>
      <c r="L266" s="16" t="str">
        <f aca="false">IFERROR(E266/H266,"")</f>
        <v/>
      </c>
      <c r="M266" s="16" t="str">
        <f aca="false">IFERROR(I266/E266,"")</f>
        <v/>
      </c>
      <c r="N266" s="16" t="str">
        <f aca="false">IF(A266="","",A266-WEEKDAY(A266,3))</f>
        <v/>
      </c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 t="str">
        <f aca="false">IFERROR(G267/F267,"")</f>
        <v/>
      </c>
      <c r="K267" s="16" t="str">
        <f aca="false">IFERROR(E267/G267,"")</f>
        <v/>
      </c>
      <c r="L267" s="16" t="str">
        <f aca="false">IFERROR(E267/H267,"")</f>
        <v/>
      </c>
      <c r="M267" s="16" t="str">
        <f aca="false">IFERROR(I267/E267,"")</f>
        <v/>
      </c>
      <c r="N267" s="16" t="str">
        <f aca="false">IF(A267="","",A267-WEEKDAY(A267,3))</f>
        <v/>
      </c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 t="str">
        <f aca="false">IFERROR(G268/F268,"")</f>
        <v/>
      </c>
      <c r="K268" s="16" t="str">
        <f aca="false">IFERROR(E268/G268,"")</f>
        <v/>
      </c>
      <c r="L268" s="16" t="str">
        <f aca="false">IFERROR(E268/H268,"")</f>
        <v/>
      </c>
      <c r="M268" s="16" t="str">
        <f aca="false">IFERROR(I268/E268,"")</f>
        <v/>
      </c>
      <c r="N268" s="16" t="str">
        <f aca="false">IF(A268="","",A268-WEEKDAY(A268,3))</f>
        <v/>
      </c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 t="str">
        <f aca="false">IFERROR(G269/F269,"")</f>
        <v/>
      </c>
      <c r="K269" s="16" t="str">
        <f aca="false">IFERROR(E269/G269,"")</f>
        <v/>
      </c>
      <c r="L269" s="16" t="str">
        <f aca="false">IFERROR(E269/H269,"")</f>
        <v/>
      </c>
      <c r="M269" s="16" t="str">
        <f aca="false">IFERROR(I269/E269,"")</f>
        <v/>
      </c>
      <c r="N269" s="16" t="str">
        <f aca="false">IF(A269="","",A269-WEEKDAY(A269,3))</f>
        <v/>
      </c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 t="str">
        <f aca="false">IFERROR(G270/F270,"")</f>
        <v/>
      </c>
      <c r="K270" s="16" t="str">
        <f aca="false">IFERROR(E270/G270,"")</f>
        <v/>
      </c>
      <c r="L270" s="16" t="str">
        <f aca="false">IFERROR(E270/H270,"")</f>
        <v/>
      </c>
      <c r="M270" s="16" t="str">
        <f aca="false">IFERROR(I270/E270,"")</f>
        <v/>
      </c>
      <c r="N270" s="16" t="str">
        <f aca="false">IF(A270="","",A270-WEEKDAY(A270,3))</f>
        <v/>
      </c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 t="str">
        <f aca="false">IFERROR(G271/F271,"")</f>
        <v/>
      </c>
      <c r="K271" s="16" t="str">
        <f aca="false">IFERROR(E271/G271,"")</f>
        <v/>
      </c>
      <c r="L271" s="16" t="str">
        <f aca="false">IFERROR(E271/H271,"")</f>
        <v/>
      </c>
      <c r="M271" s="16" t="str">
        <f aca="false">IFERROR(I271/E271,"")</f>
        <v/>
      </c>
      <c r="N271" s="16" t="str">
        <f aca="false">IF(A271="","",A271-WEEKDAY(A271,3))</f>
        <v/>
      </c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 t="str">
        <f aca="false">IFERROR(G272/F272,"")</f>
        <v/>
      </c>
      <c r="K272" s="16" t="str">
        <f aca="false">IFERROR(E272/G272,"")</f>
        <v/>
      </c>
      <c r="L272" s="16" t="str">
        <f aca="false">IFERROR(E272/H272,"")</f>
        <v/>
      </c>
      <c r="M272" s="16" t="str">
        <f aca="false">IFERROR(I272/E272,"")</f>
        <v/>
      </c>
      <c r="N272" s="16" t="str">
        <f aca="false">IF(A272="","",A272-WEEKDAY(A272,3))</f>
        <v/>
      </c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 t="str">
        <f aca="false">IFERROR(G273/F273,"")</f>
        <v/>
      </c>
      <c r="K273" s="16" t="str">
        <f aca="false">IFERROR(E273/G273,"")</f>
        <v/>
      </c>
      <c r="L273" s="16" t="str">
        <f aca="false">IFERROR(E273/H273,"")</f>
        <v/>
      </c>
      <c r="M273" s="16" t="str">
        <f aca="false">IFERROR(I273/E273,"")</f>
        <v/>
      </c>
      <c r="N273" s="16" t="str">
        <f aca="false">IF(A273="","",A273-WEEKDAY(A273,3))</f>
        <v/>
      </c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 t="str">
        <f aca="false">IFERROR(G274/F274,"")</f>
        <v/>
      </c>
      <c r="K274" s="16" t="str">
        <f aca="false">IFERROR(E274/G274,"")</f>
        <v/>
      </c>
      <c r="L274" s="16" t="str">
        <f aca="false">IFERROR(E274/H274,"")</f>
        <v/>
      </c>
      <c r="M274" s="16" t="str">
        <f aca="false">IFERROR(I274/E274,"")</f>
        <v/>
      </c>
      <c r="N274" s="16" t="str">
        <f aca="false">IF(A274="","",A274-WEEKDAY(A274,3))</f>
        <v/>
      </c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 t="str">
        <f aca="false">IFERROR(G275/F275,"")</f>
        <v/>
      </c>
      <c r="K275" s="16" t="str">
        <f aca="false">IFERROR(E275/G275,"")</f>
        <v/>
      </c>
      <c r="L275" s="16" t="str">
        <f aca="false">IFERROR(E275/H275,"")</f>
        <v/>
      </c>
      <c r="M275" s="16" t="str">
        <f aca="false">IFERROR(I275/E275,"")</f>
        <v/>
      </c>
      <c r="N275" s="16" t="str">
        <f aca="false">IF(A275="","",A275-WEEKDAY(A275,3))</f>
        <v/>
      </c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 t="str">
        <f aca="false">IFERROR(G276/F276,"")</f>
        <v/>
      </c>
      <c r="K276" s="16" t="str">
        <f aca="false">IFERROR(E276/G276,"")</f>
        <v/>
      </c>
      <c r="L276" s="16" t="str">
        <f aca="false">IFERROR(E276/H276,"")</f>
        <v/>
      </c>
      <c r="M276" s="16" t="str">
        <f aca="false">IFERROR(I276/E276,"")</f>
        <v/>
      </c>
      <c r="N276" s="16" t="str">
        <f aca="false">IF(A276="","",A276-WEEKDAY(A276,3))</f>
        <v/>
      </c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 t="str">
        <f aca="false">IFERROR(G277/F277,"")</f>
        <v/>
      </c>
      <c r="K277" s="16" t="str">
        <f aca="false">IFERROR(E277/G277,"")</f>
        <v/>
      </c>
      <c r="L277" s="16" t="str">
        <f aca="false">IFERROR(E277/H277,"")</f>
        <v/>
      </c>
      <c r="M277" s="16" t="str">
        <f aca="false">IFERROR(I277/E277,"")</f>
        <v/>
      </c>
      <c r="N277" s="16" t="str">
        <f aca="false">IF(A277="","",A277-WEEKDAY(A277,3))</f>
        <v/>
      </c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 t="str">
        <f aca="false">IFERROR(G278/F278,"")</f>
        <v/>
      </c>
      <c r="K278" s="16" t="str">
        <f aca="false">IFERROR(E278/G278,"")</f>
        <v/>
      </c>
      <c r="L278" s="16" t="str">
        <f aca="false">IFERROR(E278/H278,"")</f>
        <v/>
      </c>
      <c r="M278" s="16" t="str">
        <f aca="false">IFERROR(I278/E278,"")</f>
        <v/>
      </c>
      <c r="N278" s="16" t="str">
        <f aca="false">IF(A278="","",A278-WEEKDAY(A278,3))</f>
        <v/>
      </c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 t="str">
        <f aca="false">IFERROR(G279/F279,"")</f>
        <v/>
      </c>
      <c r="K279" s="16" t="str">
        <f aca="false">IFERROR(E279/G279,"")</f>
        <v/>
      </c>
      <c r="L279" s="16" t="str">
        <f aca="false">IFERROR(E279/H279,"")</f>
        <v/>
      </c>
      <c r="M279" s="16" t="str">
        <f aca="false">IFERROR(I279/E279,"")</f>
        <v/>
      </c>
      <c r="N279" s="16" t="str">
        <f aca="false">IF(A279="","",A279-WEEKDAY(A279,3))</f>
        <v/>
      </c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 t="str">
        <f aca="false">IFERROR(G280/F280,"")</f>
        <v/>
      </c>
      <c r="K280" s="16" t="str">
        <f aca="false">IFERROR(E280/G280,"")</f>
        <v/>
      </c>
      <c r="L280" s="16" t="str">
        <f aca="false">IFERROR(E280/H280,"")</f>
        <v/>
      </c>
      <c r="M280" s="16" t="str">
        <f aca="false">IFERROR(I280/E280,"")</f>
        <v/>
      </c>
      <c r="N280" s="16" t="str">
        <f aca="false">IF(A280="","",A280-WEEKDAY(A280,3))</f>
        <v/>
      </c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 t="str">
        <f aca="false">IFERROR(G281/F281,"")</f>
        <v/>
      </c>
      <c r="K281" s="16" t="str">
        <f aca="false">IFERROR(E281/G281,"")</f>
        <v/>
      </c>
      <c r="L281" s="16" t="str">
        <f aca="false">IFERROR(E281/H281,"")</f>
        <v/>
      </c>
      <c r="M281" s="16" t="str">
        <f aca="false">IFERROR(I281/E281,"")</f>
        <v/>
      </c>
      <c r="N281" s="16" t="str">
        <f aca="false">IF(A281="","",A281-WEEKDAY(A281,3))</f>
        <v/>
      </c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 t="str">
        <f aca="false">IFERROR(G282/F282,"")</f>
        <v/>
      </c>
      <c r="K282" s="16" t="str">
        <f aca="false">IFERROR(E282/G282,"")</f>
        <v/>
      </c>
      <c r="L282" s="16" t="str">
        <f aca="false">IFERROR(E282/H282,"")</f>
        <v/>
      </c>
      <c r="M282" s="16" t="str">
        <f aca="false">IFERROR(I282/E282,"")</f>
        <v/>
      </c>
      <c r="N282" s="16" t="str">
        <f aca="false">IF(A282="","",A282-WEEKDAY(A282,3))</f>
        <v/>
      </c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 t="str">
        <f aca="false">IFERROR(G283/F283,"")</f>
        <v/>
      </c>
      <c r="K283" s="16" t="str">
        <f aca="false">IFERROR(E283/G283,"")</f>
        <v/>
      </c>
      <c r="L283" s="16" t="str">
        <f aca="false">IFERROR(E283/H283,"")</f>
        <v/>
      </c>
      <c r="M283" s="16" t="str">
        <f aca="false">IFERROR(I283/E283,"")</f>
        <v/>
      </c>
      <c r="N283" s="16" t="str">
        <f aca="false">IF(A283="","",A283-WEEKDAY(A283,3))</f>
        <v/>
      </c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 t="str">
        <f aca="false">IFERROR(G284/F284,"")</f>
        <v/>
      </c>
      <c r="K284" s="16" t="str">
        <f aca="false">IFERROR(E284/G284,"")</f>
        <v/>
      </c>
      <c r="L284" s="16" t="str">
        <f aca="false">IFERROR(E284/H284,"")</f>
        <v/>
      </c>
      <c r="M284" s="16" t="str">
        <f aca="false">IFERROR(I284/E284,"")</f>
        <v/>
      </c>
      <c r="N284" s="16" t="str">
        <f aca="false">IF(A284="","",A284-WEEKDAY(A284,3))</f>
        <v/>
      </c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 t="str">
        <f aca="false">IFERROR(G285/F285,"")</f>
        <v/>
      </c>
      <c r="K285" s="16" t="str">
        <f aca="false">IFERROR(E285/G285,"")</f>
        <v/>
      </c>
      <c r="L285" s="16" t="str">
        <f aca="false">IFERROR(E285/H285,"")</f>
        <v/>
      </c>
      <c r="M285" s="16" t="str">
        <f aca="false">IFERROR(I285/E285,"")</f>
        <v/>
      </c>
      <c r="N285" s="16" t="str">
        <f aca="false">IF(A285="","",A285-WEEKDAY(A285,3))</f>
        <v/>
      </c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 t="str">
        <f aca="false">IFERROR(G286/F286,"")</f>
        <v/>
      </c>
      <c r="K286" s="16" t="str">
        <f aca="false">IFERROR(E286/G286,"")</f>
        <v/>
      </c>
      <c r="L286" s="16" t="str">
        <f aca="false">IFERROR(E286/H286,"")</f>
        <v/>
      </c>
      <c r="M286" s="16" t="str">
        <f aca="false">IFERROR(I286/E286,"")</f>
        <v/>
      </c>
      <c r="N286" s="16" t="str">
        <f aca="false">IF(A286="","",A286-WEEKDAY(A286,3))</f>
        <v/>
      </c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 t="str">
        <f aca="false">IFERROR(G287/F287,"")</f>
        <v/>
      </c>
      <c r="K287" s="16" t="str">
        <f aca="false">IFERROR(E287/G287,"")</f>
        <v/>
      </c>
      <c r="L287" s="16" t="str">
        <f aca="false">IFERROR(E287/H287,"")</f>
        <v/>
      </c>
      <c r="M287" s="16" t="str">
        <f aca="false">IFERROR(I287/E287,"")</f>
        <v/>
      </c>
      <c r="N287" s="16" t="str">
        <f aca="false">IF(A287="","",A287-WEEKDAY(A287,3))</f>
        <v/>
      </c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 t="str">
        <f aca="false">IFERROR(G288/F288,"")</f>
        <v/>
      </c>
      <c r="K288" s="16" t="str">
        <f aca="false">IFERROR(E288/G288,"")</f>
        <v/>
      </c>
      <c r="L288" s="16" t="str">
        <f aca="false">IFERROR(E288/H288,"")</f>
        <v/>
      </c>
      <c r="M288" s="16" t="str">
        <f aca="false">IFERROR(I288/E288,"")</f>
        <v/>
      </c>
      <c r="N288" s="16" t="str">
        <f aca="false">IF(A288="","",A288-WEEKDAY(A288,3))</f>
        <v/>
      </c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 t="str">
        <f aca="false">IFERROR(G289/F289,"")</f>
        <v/>
      </c>
      <c r="K289" s="16" t="str">
        <f aca="false">IFERROR(E289/G289,"")</f>
        <v/>
      </c>
      <c r="L289" s="16" t="str">
        <f aca="false">IFERROR(E289/H289,"")</f>
        <v/>
      </c>
      <c r="M289" s="16" t="str">
        <f aca="false">IFERROR(I289/E289,"")</f>
        <v/>
      </c>
      <c r="N289" s="16" t="str">
        <f aca="false">IF(A289="","",A289-WEEKDAY(A289,3))</f>
        <v/>
      </c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 t="str">
        <f aca="false">IFERROR(G290/F290,"")</f>
        <v/>
      </c>
      <c r="K290" s="16" t="str">
        <f aca="false">IFERROR(E290/G290,"")</f>
        <v/>
      </c>
      <c r="L290" s="16" t="str">
        <f aca="false">IFERROR(E290/H290,"")</f>
        <v/>
      </c>
      <c r="M290" s="16" t="str">
        <f aca="false">IFERROR(I290/E290,"")</f>
        <v/>
      </c>
      <c r="N290" s="16" t="str">
        <f aca="false">IF(A290="","",A290-WEEKDAY(A290,3))</f>
        <v/>
      </c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 t="str">
        <f aca="false">IFERROR(G291/F291,"")</f>
        <v/>
      </c>
      <c r="K291" s="16" t="str">
        <f aca="false">IFERROR(E291/G291,"")</f>
        <v/>
      </c>
      <c r="L291" s="16" t="str">
        <f aca="false">IFERROR(E291/H291,"")</f>
        <v/>
      </c>
      <c r="M291" s="16" t="str">
        <f aca="false">IFERROR(I291/E291,"")</f>
        <v/>
      </c>
      <c r="N291" s="16" t="str">
        <f aca="false">IF(A291="","",A291-WEEKDAY(A291,3))</f>
        <v/>
      </c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 t="str">
        <f aca="false">IFERROR(G292/F292,"")</f>
        <v/>
      </c>
      <c r="K292" s="16" t="str">
        <f aca="false">IFERROR(E292/G292,"")</f>
        <v/>
      </c>
      <c r="L292" s="16" t="str">
        <f aca="false">IFERROR(E292/H292,"")</f>
        <v/>
      </c>
      <c r="M292" s="16" t="str">
        <f aca="false">IFERROR(I292/E292,"")</f>
        <v/>
      </c>
      <c r="N292" s="16" t="str">
        <f aca="false">IF(A292="","",A292-WEEKDAY(A292,3))</f>
        <v/>
      </c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 t="str">
        <f aca="false">IFERROR(G293/F293,"")</f>
        <v/>
      </c>
      <c r="K293" s="16" t="str">
        <f aca="false">IFERROR(E293/G293,"")</f>
        <v/>
      </c>
      <c r="L293" s="16" t="str">
        <f aca="false">IFERROR(E293/H293,"")</f>
        <v/>
      </c>
      <c r="M293" s="16" t="str">
        <f aca="false">IFERROR(I293/E293,"")</f>
        <v/>
      </c>
      <c r="N293" s="16" t="str">
        <f aca="false">IF(A293="","",A293-WEEKDAY(A293,3))</f>
        <v/>
      </c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 t="str">
        <f aca="false">IFERROR(G294/F294,"")</f>
        <v/>
      </c>
      <c r="K294" s="16" t="str">
        <f aca="false">IFERROR(E294/G294,"")</f>
        <v/>
      </c>
      <c r="L294" s="16" t="str">
        <f aca="false">IFERROR(E294/H294,"")</f>
        <v/>
      </c>
      <c r="M294" s="16" t="str">
        <f aca="false">IFERROR(I294/E294,"")</f>
        <v/>
      </c>
      <c r="N294" s="16" t="str">
        <f aca="false">IF(A294="","",A294-WEEKDAY(A294,3))</f>
        <v/>
      </c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 t="str">
        <f aca="false">IFERROR(G295/F295,"")</f>
        <v/>
      </c>
      <c r="K295" s="16" t="str">
        <f aca="false">IFERROR(E295/G295,"")</f>
        <v/>
      </c>
      <c r="L295" s="16" t="str">
        <f aca="false">IFERROR(E295/H295,"")</f>
        <v/>
      </c>
      <c r="M295" s="16" t="str">
        <f aca="false">IFERROR(I295/E295,"")</f>
        <v/>
      </c>
      <c r="N295" s="16" t="str">
        <f aca="false">IF(A295="","",A295-WEEKDAY(A295,3))</f>
        <v/>
      </c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 t="str">
        <f aca="false">IFERROR(G296/F296,"")</f>
        <v/>
      </c>
      <c r="K296" s="16" t="str">
        <f aca="false">IFERROR(E296/G296,"")</f>
        <v/>
      </c>
      <c r="L296" s="16" t="str">
        <f aca="false">IFERROR(E296/H296,"")</f>
        <v/>
      </c>
      <c r="M296" s="16" t="str">
        <f aca="false">IFERROR(I296/E296,"")</f>
        <v/>
      </c>
      <c r="N296" s="16" t="str">
        <f aca="false">IF(A296="","",A296-WEEKDAY(A296,3))</f>
        <v/>
      </c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 t="str">
        <f aca="false">IFERROR(G297/F297,"")</f>
        <v/>
      </c>
      <c r="K297" s="16" t="str">
        <f aca="false">IFERROR(E297/G297,"")</f>
        <v/>
      </c>
      <c r="L297" s="16" t="str">
        <f aca="false">IFERROR(E297/H297,"")</f>
        <v/>
      </c>
      <c r="M297" s="16" t="str">
        <f aca="false">IFERROR(I297/E297,"")</f>
        <v/>
      </c>
      <c r="N297" s="16" t="str">
        <f aca="false">IF(A297="","",A297-WEEKDAY(A297,3))</f>
        <v/>
      </c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 t="str">
        <f aca="false">IFERROR(G298/F298,"")</f>
        <v/>
      </c>
      <c r="K298" s="16" t="str">
        <f aca="false">IFERROR(E298/G298,"")</f>
        <v/>
      </c>
      <c r="L298" s="16" t="str">
        <f aca="false">IFERROR(E298/H298,"")</f>
        <v/>
      </c>
      <c r="M298" s="16" t="str">
        <f aca="false">IFERROR(I298/E298,"")</f>
        <v/>
      </c>
      <c r="N298" s="16" t="str">
        <f aca="false">IF(A298="","",A298-WEEKDAY(A298,3))</f>
        <v/>
      </c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 t="str">
        <f aca="false">IFERROR(G299/F299,"")</f>
        <v/>
      </c>
      <c r="K299" s="16" t="str">
        <f aca="false">IFERROR(E299/G299,"")</f>
        <v/>
      </c>
      <c r="L299" s="16" t="str">
        <f aca="false">IFERROR(E299/H299,"")</f>
        <v/>
      </c>
      <c r="M299" s="16" t="str">
        <f aca="false">IFERROR(I299/E299,"")</f>
        <v/>
      </c>
      <c r="N299" s="16" t="str">
        <f aca="false">IF(A299="","",A299-WEEKDAY(A299,3))</f>
        <v/>
      </c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 t="str">
        <f aca="false">IFERROR(G300/F300,"")</f>
        <v/>
      </c>
      <c r="K300" s="16" t="str">
        <f aca="false">IFERROR(E300/G300,"")</f>
        <v/>
      </c>
      <c r="L300" s="16" t="str">
        <f aca="false">IFERROR(E300/H300,"")</f>
        <v/>
      </c>
      <c r="M300" s="16" t="str">
        <f aca="false">IFERROR(I300/E300,"")</f>
        <v/>
      </c>
      <c r="N300" s="16" t="str">
        <f aca="false">IF(A300="","",A300-WEEKDAY(A300,3))</f>
        <v/>
      </c>
    </row>
    <row r="301" customFormat="false" ht="1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 t="str">
        <f aca="false">IFERROR(G301/F301,"")</f>
        <v/>
      </c>
      <c r="K301" s="16" t="str">
        <f aca="false">IFERROR(E301/G301,"")</f>
        <v/>
      </c>
      <c r="L301" s="16" t="str">
        <f aca="false">IFERROR(E301/H301,"")</f>
        <v/>
      </c>
      <c r="M301" s="16" t="str">
        <f aca="false">IFERROR(I301/E301,"")</f>
        <v/>
      </c>
      <c r="N301" s="16" t="str">
        <f aca="false">IF(A301="","",A301-WEEKDAY(A301,3))</f>
        <v/>
      </c>
    </row>
    <row r="302" customFormat="false" ht="1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 t="str">
        <f aca="false">IFERROR(G302/F302,"")</f>
        <v/>
      </c>
      <c r="K302" s="16" t="str">
        <f aca="false">IFERROR(E302/G302,"")</f>
        <v/>
      </c>
      <c r="L302" s="16" t="str">
        <f aca="false">IFERROR(E302/H302,"")</f>
        <v/>
      </c>
      <c r="M302" s="16" t="str">
        <f aca="false">IFERROR(I302/E302,"")</f>
        <v/>
      </c>
      <c r="N302" s="16" t="str">
        <f aca="false">IF(A302="","",A302-WEEKDAY(A302,3))</f>
        <v/>
      </c>
    </row>
    <row r="303" customFormat="false" ht="1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 t="str">
        <f aca="false">IFERROR(G303/F303,"")</f>
        <v/>
      </c>
      <c r="K303" s="16" t="str">
        <f aca="false">IFERROR(E303/G303,"")</f>
        <v/>
      </c>
      <c r="L303" s="16" t="str">
        <f aca="false">IFERROR(E303/H303,"")</f>
        <v/>
      </c>
      <c r="M303" s="16" t="str">
        <f aca="false">IFERROR(I303/E303,"")</f>
        <v/>
      </c>
      <c r="N303" s="16" t="str">
        <f aca="false">IF(A303="","",A303-WEEKDAY(A303,3))</f>
        <v/>
      </c>
    </row>
    <row r="304" customFormat="false" ht="1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 t="str">
        <f aca="false">IFERROR(G304/F304,"")</f>
        <v/>
      </c>
      <c r="K304" s="16" t="str">
        <f aca="false">IFERROR(E304/G304,"")</f>
        <v/>
      </c>
      <c r="L304" s="16" t="str">
        <f aca="false">IFERROR(E304/H304,"")</f>
        <v/>
      </c>
      <c r="M304" s="16" t="str">
        <f aca="false">IFERROR(I304/E304,"")</f>
        <v/>
      </c>
      <c r="N304" s="16" t="str">
        <f aca="false">IF(A304="","",A304-WEEKDAY(A304,3))</f>
        <v/>
      </c>
    </row>
    <row r="305" customFormat="false" ht="1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 t="str">
        <f aca="false">IFERROR(G305/F305,"")</f>
        <v/>
      </c>
      <c r="K305" s="16" t="str">
        <f aca="false">IFERROR(E305/G305,"")</f>
        <v/>
      </c>
      <c r="L305" s="16" t="str">
        <f aca="false">IFERROR(E305/H305,"")</f>
        <v/>
      </c>
      <c r="M305" s="16" t="str">
        <f aca="false">IFERROR(I305/E305,"")</f>
        <v/>
      </c>
      <c r="N305" s="16" t="str">
        <f aca="false">IF(A305="","",A305-WEEKDAY(A305,3))</f>
        <v/>
      </c>
    </row>
    <row r="306" customFormat="false" ht="1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 t="str">
        <f aca="false">IFERROR(G306/F306,"")</f>
        <v/>
      </c>
      <c r="K306" s="16" t="str">
        <f aca="false">IFERROR(E306/G306,"")</f>
        <v/>
      </c>
      <c r="L306" s="16" t="str">
        <f aca="false">IFERROR(E306/H306,"")</f>
        <v/>
      </c>
      <c r="M306" s="16" t="str">
        <f aca="false">IFERROR(I306/E306,"")</f>
        <v/>
      </c>
      <c r="N306" s="16" t="str">
        <f aca="false">IF(A306="","",A306-WEEKDAY(A306,3))</f>
        <v/>
      </c>
    </row>
    <row r="307" customFormat="false" ht="1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 t="str">
        <f aca="false">IFERROR(G307/F307,"")</f>
        <v/>
      </c>
      <c r="K307" s="16" t="str">
        <f aca="false">IFERROR(E307/G307,"")</f>
        <v/>
      </c>
      <c r="L307" s="16" t="str">
        <f aca="false">IFERROR(E307/H307,"")</f>
        <v/>
      </c>
      <c r="M307" s="16" t="str">
        <f aca="false">IFERROR(I307/E307,"")</f>
        <v/>
      </c>
      <c r="N307" s="16" t="str">
        <f aca="false">IF(A307="","",A307-WEEKDAY(A307,3))</f>
        <v/>
      </c>
    </row>
    <row r="308" customFormat="false" ht="1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 t="str">
        <f aca="false">IFERROR(G308/F308,"")</f>
        <v/>
      </c>
      <c r="K308" s="16" t="str">
        <f aca="false">IFERROR(E308/G308,"")</f>
        <v/>
      </c>
      <c r="L308" s="16" t="str">
        <f aca="false">IFERROR(E308/H308,"")</f>
        <v/>
      </c>
      <c r="M308" s="16" t="str">
        <f aca="false">IFERROR(I308/E308,"")</f>
        <v/>
      </c>
      <c r="N308" s="16" t="str">
        <f aca="false">IF(A308="","",A308-WEEKDAY(A308,3))</f>
        <v/>
      </c>
    </row>
    <row r="309" customFormat="false" ht="1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 t="str">
        <f aca="false">IFERROR(G309/F309,"")</f>
        <v/>
      </c>
      <c r="K309" s="16" t="str">
        <f aca="false">IFERROR(E309/G309,"")</f>
        <v/>
      </c>
      <c r="L309" s="16" t="str">
        <f aca="false">IFERROR(E309/H309,"")</f>
        <v/>
      </c>
      <c r="M309" s="16" t="str">
        <f aca="false">IFERROR(I309/E309,"")</f>
        <v/>
      </c>
      <c r="N309" s="16" t="str">
        <f aca="false">IF(A309="","",A309-WEEKDAY(A309,3))</f>
        <v/>
      </c>
    </row>
    <row r="310" customFormat="false" ht="1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 t="str">
        <f aca="false">IFERROR(G310/F310,"")</f>
        <v/>
      </c>
      <c r="K310" s="16" t="str">
        <f aca="false">IFERROR(E310/G310,"")</f>
        <v/>
      </c>
      <c r="L310" s="16" t="str">
        <f aca="false">IFERROR(E310/H310,"")</f>
        <v/>
      </c>
      <c r="M310" s="16" t="str">
        <f aca="false">IFERROR(I310/E310,"")</f>
        <v/>
      </c>
      <c r="N310" s="16" t="str">
        <f aca="false">IF(A310="","",A310-WEEKDAY(A310,3))</f>
        <v/>
      </c>
    </row>
    <row r="311" customFormat="false" ht="1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 t="str">
        <f aca="false">IFERROR(G311/F311,"")</f>
        <v/>
      </c>
      <c r="K311" s="16" t="str">
        <f aca="false">IFERROR(E311/G311,"")</f>
        <v/>
      </c>
      <c r="L311" s="16" t="str">
        <f aca="false">IFERROR(E311/H311,"")</f>
        <v/>
      </c>
      <c r="M311" s="16" t="str">
        <f aca="false">IFERROR(I311/E311,"")</f>
        <v/>
      </c>
      <c r="N311" s="16" t="str">
        <f aca="false">IF(A311="","",A311-WEEKDAY(A311,3))</f>
        <v/>
      </c>
    </row>
    <row r="312" customFormat="false" ht="1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 t="str">
        <f aca="false">IFERROR(G312/F312,"")</f>
        <v/>
      </c>
      <c r="K312" s="16" t="str">
        <f aca="false">IFERROR(E312/G312,"")</f>
        <v/>
      </c>
      <c r="L312" s="16" t="str">
        <f aca="false">IFERROR(E312/H312,"")</f>
        <v/>
      </c>
      <c r="M312" s="16" t="str">
        <f aca="false">IFERROR(I312/E312,"")</f>
        <v/>
      </c>
      <c r="N312" s="16" t="str">
        <f aca="false">IF(A312="","",A312-WEEKDAY(A312,3))</f>
        <v/>
      </c>
    </row>
    <row r="313" customFormat="false" ht="1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 t="str">
        <f aca="false">IFERROR(G313/F313,"")</f>
        <v/>
      </c>
      <c r="K313" s="16" t="str">
        <f aca="false">IFERROR(E313/G313,"")</f>
        <v/>
      </c>
      <c r="L313" s="16" t="str">
        <f aca="false">IFERROR(E313/H313,"")</f>
        <v/>
      </c>
      <c r="M313" s="16" t="str">
        <f aca="false">IFERROR(I313/E313,"")</f>
        <v/>
      </c>
      <c r="N313" s="16" t="str">
        <f aca="false">IF(A313="","",A313-WEEKDAY(A313,3))</f>
        <v/>
      </c>
    </row>
    <row r="314" customFormat="false" ht="1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 t="str">
        <f aca="false">IFERROR(G314/F314,"")</f>
        <v/>
      </c>
      <c r="K314" s="16" t="str">
        <f aca="false">IFERROR(E314/G314,"")</f>
        <v/>
      </c>
      <c r="L314" s="16" t="str">
        <f aca="false">IFERROR(E314/H314,"")</f>
        <v/>
      </c>
      <c r="M314" s="16" t="str">
        <f aca="false">IFERROR(I314/E314,"")</f>
        <v/>
      </c>
      <c r="N314" s="16" t="str">
        <f aca="false">IF(A314="","",A314-WEEKDAY(A314,3))</f>
        <v/>
      </c>
    </row>
    <row r="315" customFormat="false" ht="1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 t="str">
        <f aca="false">IFERROR(G315/F315,"")</f>
        <v/>
      </c>
      <c r="K315" s="16" t="str">
        <f aca="false">IFERROR(E315/G315,"")</f>
        <v/>
      </c>
      <c r="L315" s="16" t="str">
        <f aca="false">IFERROR(E315/H315,"")</f>
        <v/>
      </c>
      <c r="M315" s="16" t="str">
        <f aca="false">IFERROR(I315/E315,"")</f>
        <v/>
      </c>
      <c r="N315" s="16" t="str">
        <f aca="false">IF(A315="","",A315-WEEKDAY(A315,3))</f>
        <v/>
      </c>
    </row>
    <row r="316" customFormat="false" ht="1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 t="str">
        <f aca="false">IFERROR(G316/F316,"")</f>
        <v/>
      </c>
      <c r="K316" s="16" t="str">
        <f aca="false">IFERROR(E316/G316,"")</f>
        <v/>
      </c>
      <c r="L316" s="16" t="str">
        <f aca="false">IFERROR(E316/H316,"")</f>
        <v/>
      </c>
      <c r="M316" s="16" t="str">
        <f aca="false">IFERROR(I316/E316,"")</f>
        <v/>
      </c>
      <c r="N316" s="16" t="str">
        <f aca="false">IF(A316="","",A316-WEEKDAY(A316,3))</f>
        <v/>
      </c>
    </row>
    <row r="317" customFormat="false" ht="1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 t="str">
        <f aca="false">IFERROR(G317/F317,"")</f>
        <v/>
      </c>
      <c r="K317" s="16" t="str">
        <f aca="false">IFERROR(E317/G317,"")</f>
        <v/>
      </c>
      <c r="L317" s="16" t="str">
        <f aca="false">IFERROR(E317/H317,"")</f>
        <v/>
      </c>
      <c r="M317" s="16" t="str">
        <f aca="false">IFERROR(I317/E317,"")</f>
        <v/>
      </c>
      <c r="N317" s="16" t="str">
        <f aca="false">IF(A317="","",A317-WEEKDAY(A317,3))</f>
        <v/>
      </c>
    </row>
    <row r="318" customFormat="false" ht="1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 t="str">
        <f aca="false">IFERROR(G318/F318,"")</f>
        <v/>
      </c>
      <c r="K318" s="16" t="str">
        <f aca="false">IFERROR(E318/G318,"")</f>
        <v/>
      </c>
      <c r="L318" s="16" t="str">
        <f aca="false">IFERROR(E318/H318,"")</f>
        <v/>
      </c>
      <c r="M318" s="16" t="str">
        <f aca="false">IFERROR(I318/E318,"")</f>
        <v/>
      </c>
      <c r="N318" s="16" t="str">
        <f aca="false">IF(A318="","",A318-WEEKDAY(A318,3))</f>
        <v/>
      </c>
    </row>
    <row r="319" customFormat="false" ht="1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 t="str">
        <f aca="false">IFERROR(G319/F319,"")</f>
        <v/>
      </c>
      <c r="K319" s="16" t="str">
        <f aca="false">IFERROR(E319/G319,"")</f>
        <v/>
      </c>
      <c r="L319" s="16" t="str">
        <f aca="false">IFERROR(E319/H319,"")</f>
        <v/>
      </c>
      <c r="M319" s="16" t="str">
        <f aca="false">IFERROR(I319/E319,"")</f>
        <v/>
      </c>
      <c r="N319" s="16" t="str">
        <f aca="false">IF(A319="","",A319-WEEKDAY(A319,3))</f>
        <v/>
      </c>
    </row>
    <row r="320" customFormat="false" ht="1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 t="str">
        <f aca="false">IFERROR(G320/F320,"")</f>
        <v/>
      </c>
      <c r="K320" s="16" t="str">
        <f aca="false">IFERROR(E320/G320,"")</f>
        <v/>
      </c>
      <c r="L320" s="16" t="str">
        <f aca="false">IFERROR(E320/H320,"")</f>
        <v/>
      </c>
      <c r="M320" s="16" t="str">
        <f aca="false">IFERROR(I320/E320,"")</f>
        <v/>
      </c>
      <c r="N320" s="16" t="str">
        <f aca="false">IF(A320="","",A320-WEEKDAY(A320,3))</f>
        <v/>
      </c>
    </row>
    <row r="321" customFormat="false" ht="1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 t="str">
        <f aca="false">IFERROR(G321/F321,"")</f>
        <v/>
      </c>
      <c r="K321" s="16" t="str">
        <f aca="false">IFERROR(E321/G321,"")</f>
        <v/>
      </c>
      <c r="L321" s="16" t="str">
        <f aca="false">IFERROR(E321/H321,"")</f>
        <v/>
      </c>
      <c r="M321" s="16" t="str">
        <f aca="false">IFERROR(I321/E321,"")</f>
        <v/>
      </c>
      <c r="N321" s="16" t="str">
        <f aca="false">IF(A321="","",A321-WEEKDAY(A321,3))</f>
        <v/>
      </c>
    </row>
    <row r="322" customFormat="false" ht="1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 t="str">
        <f aca="false">IFERROR(G322/F322,"")</f>
        <v/>
      </c>
      <c r="K322" s="16" t="str">
        <f aca="false">IFERROR(E322/G322,"")</f>
        <v/>
      </c>
      <c r="L322" s="16" t="str">
        <f aca="false">IFERROR(E322/H322,"")</f>
        <v/>
      </c>
      <c r="M322" s="16" t="str">
        <f aca="false">IFERROR(I322/E322,"")</f>
        <v/>
      </c>
      <c r="N322" s="16" t="str">
        <f aca="false">IF(A322="","",A322-WEEKDAY(A322,3))</f>
        <v/>
      </c>
    </row>
    <row r="323" customFormat="false" ht="1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 t="str">
        <f aca="false">IFERROR(G323/F323,"")</f>
        <v/>
      </c>
      <c r="K323" s="16" t="str">
        <f aca="false">IFERROR(E323/G323,"")</f>
        <v/>
      </c>
      <c r="L323" s="16" t="str">
        <f aca="false">IFERROR(E323/H323,"")</f>
        <v/>
      </c>
      <c r="M323" s="16" t="str">
        <f aca="false">IFERROR(I323/E323,"")</f>
        <v/>
      </c>
      <c r="N323" s="16" t="str">
        <f aca="false">IF(A323="","",A323-WEEKDAY(A323,3))</f>
        <v/>
      </c>
    </row>
    <row r="324" customFormat="false" ht="1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 t="str">
        <f aca="false">IFERROR(G324/F324,"")</f>
        <v/>
      </c>
      <c r="K324" s="16" t="str">
        <f aca="false">IFERROR(E324/G324,"")</f>
        <v/>
      </c>
      <c r="L324" s="16" t="str">
        <f aca="false">IFERROR(E324/H324,"")</f>
        <v/>
      </c>
      <c r="M324" s="16" t="str">
        <f aca="false">IFERROR(I324/E324,"")</f>
        <v/>
      </c>
      <c r="N324" s="16" t="str">
        <f aca="false">IF(A324="","",A324-WEEKDAY(A324,3))</f>
        <v/>
      </c>
    </row>
    <row r="325" customFormat="false" ht="1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 t="str">
        <f aca="false">IFERROR(G325/F325,"")</f>
        <v/>
      </c>
      <c r="K325" s="16" t="str">
        <f aca="false">IFERROR(E325/G325,"")</f>
        <v/>
      </c>
      <c r="L325" s="16" t="str">
        <f aca="false">IFERROR(E325/H325,"")</f>
        <v/>
      </c>
      <c r="M325" s="16" t="str">
        <f aca="false">IFERROR(I325/E325,"")</f>
        <v/>
      </c>
      <c r="N325" s="16" t="str">
        <f aca="false">IF(A325="","",A325-WEEKDAY(A325,3))</f>
        <v/>
      </c>
    </row>
    <row r="326" customFormat="false" ht="1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 t="str">
        <f aca="false">IFERROR(G326/F326,"")</f>
        <v/>
      </c>
      <c r="K326" s="16" t="str">
        <f aca="false">IFERROR(E326/G326,"")</f>
        <v/>
      </c>
      <c r="L326" s="16" t="str">
        <f aca="false">IFERROR(E326/H326,"")</f>
        <v/>
      </c>
      <c r="M326" s="16" t="str">
        <f aca="false">IFERROR(I326/E326,"")</f>
        <v/>
      </c>
      <c r="N326" s="16" t="str">
        <f aca="false">IF(A326="","",A326-WEEKDAY(A326,3))</f>
        <v/>
      </c>
    </row>
    <row r="327" customFormat="false" ht="1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 t="str">
        <f aca="false">IFERROR(G327/F327,"")</f>
        <v/>
      </c>
      <c r="K327" s="16" t="str">
        <f aca="false">IFERROR(E327/G327,"")</f>
        <v/>
      </c>
      <c r="L327" s="16" t="str">
        <f aca="false">IFERROR(E327/H327,"")</f>
        <v/>
      </c>
      <c r="M327" s="16" t="str">
        <f aca="false">IFERROR(I327/E327,"")</f>
        <v/>
      </c>
      <c r="N327" s="16" t="str">
        <f aca="false">IF(A327="","",A327-WEEKDAY(A327,3))</f>
        <v/>
      </c>
    </row>
    <row r="328" customFormat="false" ht="1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 t="str">
        <f aca="false">IFERROR(G328/F328,"")</f>
        <v/>
      </c>
      <c r="K328" s="16" t="str">
        <f aca="false">IFERROR(E328/G328,"")</f>
        <v/>
      </c>
      <c r="L328" s="16" t="str">
        <f aca="false">IFERROR(E328/H328,"")</f>
        <v/>
      </c>
      <c r="M328" s="16" t="str">
        <f aca="false">IFERROR(I328/E328,"")</f>
        <v/>
      </c>
      <c r="N328" s="16" t="str">
        <f aca="false">IF(A328="","",A328-WEEKDAY(A328,3))</f>
        <v/>
      </c>
    </row>
    <row r="329" customFormat="false" ht="1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 t="str">
        <f aca="false">IFERROR(G329/F329,"")</f>
        <v/>
      </c>
      <c r="K329" s="16" t="str">
        <f aca="false">IFERROR(E329/G329,"")</f>
        <v/>
      </c>
      <c r="L329" s="16" t="str">
        <f aca="false">IFERROR(E329/H329,"")</f>
        <v/>
      </c>
      <c r="M329" s="16" t="str">
        <f aca="false">IFERROR(I329/E329,"")</f>
        <v/>
      </c>
      <c r="N329" s="16" t="str">
        <f aca="false">IF(A329="","",A329-WEEKDAY(A329,3))</f>
        <v/>
      </c>
    </row>
    <row r="330" customFormat="false" ht="1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 t="str">
        <f aca="false">IFERROR(G330/F330,"")</f>
        <v/>
      </c>
      <c r="K330" s="16" t="str">
        <f aca="false">IFERROR(E330/G330,"")</f>
        <v/>
      </c>
      <c r="L330" s="16" t="str">
        <f aca="false">IFERROR(E330/H330,"")</f>
        <v/>
      </c>
      <c r="M330" s="16" t="str">
        <f aca="false">IFERROR(I330/E330,"")</f>
        <v/>
      </c>
      <c r="N330" s="16" t="str">
        <f aca="false">IF(A330="","",A330-WEEKDAY(A330,3))</f>
        <v/>
      </c>
    </row>
    <row r="331" customFormat="false" ht="1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 t="str">
        <f aca="false">IFERROR(G331/F331,"")</f>
        <v/>
      </c>
      <c r="K331" s="16" t="str">
        <f aca="false">IFERROR(E331/G331,"")</f>
        <v/>
      </c>
      <c r="L331" s="16" t="str">
        <f aca="false">IFERROR(E331/H331,"")</f>
        <v/>
      </c>
      <c r="M331" s="16" t="str">
        <f aca="false">IFERROR(I331/E331,"")</f>
        <v/>
      </c>
      <c r="N331" s="16" t="str">
        <f aca="false">IF(A331="","",A331-WEEKDAY(A331,3))</f>
        <v/>
      </c>
    </row>
    <row r="332" customFormat="false" ht="1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 t="str">
        <f aca="false">IFERROR(G332/F332,"")</f>
        <v/>
      </c>
      <c r="K332" s="16" t="str">
        <f aca="false">IFERROR(E332/G332,"")</f>
        <v/>
      </c>
      <c r="L332" s="16" t="str">
        <f aca="false">IFERROR(E332/H332,"")</f>
        <v/>
      </c>
      <c r="M332" s="16" t="str">
        <f aca="false">IFERROR(I332/E332,"")</f>
        <v/>
      </c>
      <c r="N332" s="16" t="str">
        <f aca="false">IF(A332="","",A332-WEEKDAY(A332,3))</f>
        <v/>
      </c>
    </row>
    <row r="333" customFormat="false" ht="1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 t="str">
        <f aca="false">IFERROR(G333/F333,"")</f>
        <v/>
      </c>
      <c r="K333" s="16" t="str">
        <f aca="false">IFERROR(E333/G333,"")</f>
        <v/>
      </c>
      <c r="L333" s="16" t="str">
        <f aca="false">IFERROR(E333/H333,"")</f>
        <v/>
      </c>
      <c r="M333" s="16" t="str">
        <f aca="false">IFERROR(I333/E333,"")</f>
        <v/>
      </c>
      <c r="N333" s="16" t="str">
        <f aca="false">IF(A333="","",A333-WEEKDAY(A333,3))</f>
        <v/>
      </c>
    </row>
    <row r="334" customFormat="false" ht="1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 t="str">
        <f aca="false">IFERROR(G334/F334,"")</f>
        <v/>
      </c>
      <c r="K334" s="16" t="str">
        <f aca="false">IFERROR(E334/G334,"")</f>
        <v/>
      </c>
      <c r="L334" s="16" t="str">
        <f aca="false">IFERROR(E334/H334,"")</f>
        <v/>
      </c>
      <c r="M334" s="16" t="str">
        <f aca="false">IFERROR(I334/E334,"")</f>
        <v/>
      </c>
      <c r="N334" s="16" t="str">
        <f aca="false">IF(A334="","",A334-WEEKDAY(A334,3))</f>
        <v/>
      </c>
    </row>
    <row r="335" customFormat="false" ht="1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 t="str">
        <f aca="false">IFERROR(G335/F335,"")</f>
        <v/>
      </c>
      <c r="K335" s="16" t="str">
        <f aca="false">IFERROR(E335/G335,"")</f>
        <v/>
      </c>
      <c r="L335" s="16" t="str">
        <f aca="false">IFERROR(E335/H335,"")</f>
        <v/>
      </c>
      <c r="M335" s="16" t="str">
        <f aca="false">IFERROR(I335/E335,"")</f>
        <v/>
      </c>
      <c r="N335" s="16" t="str">
        <f aca="false">IF(A335="","",A335-WEEKDAY(A335,3))</f>
        <v/>
      </c>
    </row>
    <row r="336" customFormat="false" ht="1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 t="str">
        <f aca="false">IFERROR(G336/F336,"")</f>
        <v/>
      </c>
      <c r="K336" s="16" t="str">
        <f aca="false">IFERROR(E336/G336,"")</f>
        <v/>
      </c>
      <c r="L336" s="16" t="str">
        <f aca="false">IFERROR(E336/H336,"")</f>
        <v/>
      </c>
      <c r="M336" s="16" t="str">
        <f aca="false">IFERROR(I336/E336,"")</f>
        <v/>
      </c>
      <c r="N336" s="16" t="str">
        <f aca="false">IF(A336="","",A336-WEEKDAY(A336,3))</f>
        <v/>
      </c>
    </row>
    <row r="337" customFormat="false" ht="1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 t="str">
        <f aca="false">IFERROR(G337/F337,"")</f>
        <v/>
      </c>
      <c r="K337" s="16" t="str">
        <f aca="false">IFERROR(E337/G337,"")</f>
        <v/>
      </c>
      <c r="L337" s="16" t="str">
        <f aca="false">IFERROR(E337/H337,"")</f>
        <v/>
      </c>
      <c r="M337" s="16" t="str">
        <f aca="false">IFERROR(I337/E337,"")</f>
        <v/>
      </c>
      <c r="N337" s="16" t="str">
        <f aca="false">IF(A337="","",A337-WEEKDAY(A337,3))</f>
        <v/>
      </c>
    </row>
    <row r="338" customFormat="false" ht="1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 t="str">
        <f aca="false">IFERROR(G338/F338,"")</f>
        <v/>
      </c>
      <c r="K338" s="16" t="str">
        <f aca="false">IFERROR(E338/G338,"")</f>
        <v/>
      </c>
      <c r="L338" s="16" t="str">
        <f aca="false">IFERROR(E338/H338,"")</f>
        <v/>
      </c>
      <c r="M338" s="16" t="str">
        <f aca="false">IFERROR(I338/E338,"")</f>
        <v/>
      </c>
      <c r="N338" s="16" t="str">
        <f aca="false">IF(A338="","",A338-WEEKDAY(A338,3))</f>
        <v/>
      </c>
    </row>
    <row r="339" customFormat="false" ht="1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 t="str">
        <f aca="false">IFERROR(G339/F339,"")</f>
        <v/>
      </c>
      <c r="K339" s="16" t="str">
        <f aca="false">IFERROR(E339/G339,"")</f>
        <v/>
      </c>
      <c r="L339" s="16" t="str">
        <f aca="false">IFERROR(E339/H339,"")</f>
        <v/>
      </c>
      <c r="M339" s="16" t="str">
        <f aca="false">IFERROR(I339/E339,"")</f>
        <v/>
      </c>
      <c r="N339" s="16" t="str">
        <f aca="false">IF(A339="","",A339-WEEKDAY(A339,3))</f>
        <v/>
      </c>
    </row>
    <row r="340" customFormat="false" ht="1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 t="str">
        <f aca="false">IFERROR(G340/F340,"")</f>
        <v/>
      </c>
      <c r="K340" s="16" t="str">
        <f aca="false">IFERROR(E340/G340,"")</f>
        <v/>
      </c>
      <c r="L340" s="16" t="str">
        <f aca="false">IFERROR(E340/H340,"")</f>
        <v/>
      </c>
      <c r="M340" s="16" t="str">
        <f aca="false">IFERROR(I340/E340,"")</f>
        <v/>
      </c>
      <c r="N340" s="16" t="str">
        <f aca="false">IF(A340="","",A340-WEEKDAY(A340,3))</f>
        <v/>
      </c>
    </row>
    <row r="341" customFormat="false" ht="1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 t="str">
        <f aca="false">IFERROR(G341/F341,"")</f>
        <v/>
      </c>
      <c r="K341" s="16" t="str">
        <f aca="false">IFERROR(E341/G341,"")</f>
        <v/>
      </c>
      <c r="L341" s="16" t="str">
        <f aca="false">IFERROR(E341/H341,"")</f>
        <v/>
      </c>
      <c r="M341" s="16" t="str">
        <f aca="false">IFERROR(I341/E341,"")</f>
        <v/>
      </c>
      <c r="N341" s="16" t="str">
        <f aca="false">IF(A341="","",A341-WEEKDAY(A341,3))</f>
        <v/>
      </c>
    </row>
    <row r="342" customFormat="false" ht="1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 t="str">
        <f aca="false">IFERROR(G342/F342,"")</f>
        <v/>
      </c>
      <c r="K342" s="16" t="str">
        <f aca="false">IFERROR(E342/G342,"")</f>
        <v/>
      </c>
      <c r="L342" s="16" t="str">
        <f aca="false">IFERROR(E342/H342,"")</f>
        <v/>
      </c>
      <c r="M342" s="16" t="str">
        <f aca="false">IFERROR(I342/E342,"")</f>
        <v/>
      </c>
      <c r="N342" s="16" t="str">
        <f aca="false">IF(A342="","",A342-WEEKDAY(A342,3))</f>
        <v/>
      </c>
    </row>
    <row r="343" customFormat="false" ht="1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 t="str">
        <f aca="false">IFERROR(G343/F343,"")</f>
        <v/>
      </c>
      <c r="K343" s="16" t="str">
        <f aca="false">IFERROR(E343/G343,"")</f>
        <v/>
      </c>
      <c r="L343" s="16" t="str">
        <f aca="false">IFERROR(E343/H343,"")</f>
        <v/>
      </c>
      <c r="M343" s="16" t="str">
        <f aca="false">IFERROR(I343/E343,"")</f>
        <v/>
      </c>
      <c r="N343" s="16" t="str">
        <f aca="false">IF(A343="","",A343-WEEKDAY(A343,3))</f>
        <v/>
      </c>
    </row>
    <row r="344" customFormat="false" ht="1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 t="str">
        <f aca="false">IFERROR(G344/F344,"")</f>
        <v/>
      </c>
      <c r="K344" s="16" t="str">
        <f aca="false">IFERROR(E344/G344,"")</f>
        <v/>
      </c>
      <c r="L344" s="16" t="str">
        <f aca="false">IFERROR(E344/H344,"")</f>
        <v/>
      </c>
      <c r="M344" s="16" t="str">
        <f aca="false">IFERROR(I344/E344,"")</f>
        <v/>
      </c>
      <c r="N344" s="16" t="str">
        <f aca="false">IF(A344="","",A344-WEEKDAY(A344,3))</f>
        <v/>
      </c>
    </row>
    <row r="345" customFormat="false" ht="1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 t="str">
        <f aca="false">IFERROR(G345/F345,"")</f>
        <v/>
      </c>
      <c r="K345" s="16" t="str">
        <f aca="false">IFERROR(E345/G345,"")</f>
        <v/>
      </c>
      <c r="L345" s="16" t="str">
        <f aca="false">IFERROR(E345/H345,"")</f>
        <v/>
      </c>
      <c r="M345" s="16" t="str">
        <f aca="false">IFERROR(I345/E345,"")</f>
        <v/>
      </c>
      <c r="N345" s="16" t="str">
        <f aca="false">IF(A345="","",A345-WEEKDAY(A345,3))</f>
        <v/>
      </c>
    </row>
    <row r="346" customFormat="false" ht="1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 t="str">
        <f aca="false">IFERROR(G346/F346,"")</f>
        <v/>
      </c>
      <c r="K346" s="16" t="str">
        <f aca="false">IFERROR(E346/G346,"")</f>
        <v/>
      </c>
      <c r="L346" s="16" t="str">
        <f aca="false">IFERROR(E346/H346,"")</f>
        <v/>
      </c>
      <c r="M346" s="16" t="str">
        <f aca="false">IFERROR(I346/E346,"")</f>
        <v/>
      </c>
      <c r="N346" s="16" t="str">
        <f aca="false">IF(A346="","",A346-WEEKDAY(A346,3))</f>
        <v/>
      </c>
    </row>
    <row r="347" customFormat="false" ht="1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 t="str">
        <f aca="false">IFERROR(G347/F347,"")</f>
        <v/>
      </c>
      <c r="K347" s="16" t="str">
        <f aca="false">IFERROR(E347/G347,"")</f>
        <v/>
      </c>
      <c r="L347" s="16" t="str">
        <f aca="false">IFERROR(E347/H347,"")</f>
        <v/>
      </c>
      <c r="M347" s="16" t="str">
        <f aca="false">IFERROR(I347/E347,"")</f>
        <v/>
      </c>
      <c r="N347" s="16" t="str">
        <f aca="false">IF(A347="","",A347-WEEKDAY(A347,3))</f>
        <v/>
      </c>
    </row>
    <row r="348" customFormat="false" ht="1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 t="str">
        <f aca="false">IFERROR(G348/F348,"")</f>
        <v/>
      </c>
      <c r="K348" s="16" t="str">
        <f aca="false">IFERROR(E348/G348,"")</f>
        <v/>
      </c>
      <c r="L348" s="16" t="str">
        <f aca="false">IFERROR(E348/H348,"")</f>
        <v/>
      </c>
      <c r="M348" s="16" t="str">
        <f aca="false">IFERROR(I348/E348,"")</f>
        <v/>
      </c>
      <c r="N348" s="16" t="str">
        <f aca="false">IF(A348="","",A348-WEEKDAY(A348,3))</f>
        <v/>
      </c>
    </row>
    <row r="349" customFormat="false" ht="1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 t="str">
        <f aca="false">IFERROR(G349/F349,"")</f>
        <v/>
      </c>
      <c r="K349" s="16" t="str">
        <f aca="false">IFERROR(E349/G349,"")</f>
        <v/>
      </c>
      <c r="L349" s="16" t="str">
        <f aca="false">IFERROR(E349/H349,"")</f>
        <v/>
      </c>
      <c r="M349" s="16" t="str">
        <f aca="false">IFERROR(I349/E349,"")</f>
        <v/>
      </c>
      <c r="N349" s="16" t="str">
        <f aca="false">IF(A349="","",A349-WEEKDAY(A349,3))</f>
        <v/>
      </c>
    </row>
    <row r="350" customFormat="false" ht="1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 t="str">
        <f aca="false">IFERROR(G350/F350,"")</f>
        <v/>
      </c>
      <c r="K350" s="16" t="str">
        <f aca="false">IFERROR(E350/G350,"")</f>
        <v/>
      </c>
      <c r="L350" s="16" t="str">
        <f aca="false">IFERROR(E350/H350,"")</f>
        <v/>
      </c>
      <c r="M350" s="16" t="str">
        <f aca="false">IFERROR(I350/E350,"")</f>
        <v/>
      </c>
      <c r="N350" s="16" t="str">
        <f aca="false">IF(A350="","",A350-WEEKDAY(A350,3))</f>
        <v/>
      </c>
    </row>
    <row r="351" customFormat="false" ht="1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 t="str">
        <f aca="false">IFERROR(G351/F351,"")</f>
        <v/>
      </c>
      <c r="K351" s="16" t="str">
        <f aca="false">IFERROR(E351/G351,"")</f>
        <v/>
      </c>
      <c r="L351" s="16" t="str">
        <f aca="false">IFERROR(E351/H351,"")</f>
        <v/>
      </c>
      <c r="M351" s="16" t="str">
        <f aca="false">IFERROR(I351/E351,"")</f>
        <v/>
      </c>
      <c r="N351" s="16" t="str">
        <f aca="false">IF(A351="","",A351-WEEKDAY(A351,3))</f>
        <v/>
      </c>
    </row>
    <row r="352" customFormat="false" ht="1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 t="str">
        <f aca="false">IFERROR(G352/F352,"")</f>
        <v/>
      </c>
      <c r="K352" s="16" t="str">
        <f aca="false">IFERROR(E352/G352,"")</f>
        <v/>
      </c>
      <c r="L352" s="16" t="str">
        <f aca="false">IFERROR(E352/H352,"")</f>
        <v/>
      </c>
      <c r="M352" s="16" t="str">
        <f aca="false">IFERROR(I352/E352,"")</f>
        <v/>
      </c>
      <c r="N352" s="16" t="str">
        <f aca="false">IF(A352="","",A352-WEEKDAY(A352,3))</f>
        <v/>
      </c>
    </row>
    <row r="353" customFormat="false" ht="1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 t="str">
        <f aca="false">IFERROR(G353/F353,"")</f>
        <v/>
      </c>
      <c r="K353" s="16" t="str">
        <f aca="false">IFERROR(E353/G353,"")</f>
        <v/>
      </c>
      <c r="L353" s="16" t="str">
        <f aca="false">IFERROR(E353/H353,"")</f>
        <v/>
      </c>
      <c r="M353" s="16" t="str">
        <f aca="false">IFERROR(I353/E353,"")</f>
        <v/>
      </c>
      <c r="N353" s="16" t="str">
        <f aca="false">IF(A353="","",A353-WEEKDAY(A353,3))</f>
        <v/>
      </c>
    </row>
    <row r="354" customFormat="false" ht="1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 t="str">
        <f aca="false">IFERROR(G354/F354,"")</f>
        <v/>
      </c>
      <c r="K354" s="16" t="str">
        <f aca="false">IFERROR(E354/G354,"")</f>
        <v/>
      </c>
      <c r="L354" s="16" t="str">
        <f aca="false">IFERROR(E354/H354,"")</f>
        <v/>
      </c>
      <c r="M354" s="16" t="str">
        <f aca="false">IFERROR(I354/E354,"")</f>
        <v/>
      </c>
      <c r="N354" s="16" t="str">
        <f aca="false">IF(A354="","",A354-WEEKDAY(A354,3))</f>
        <v/>
      </c>
    </row>
    <row r="355" customFormat="false" ht="1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 t="str">
        <f aca="false">IFERROR(G355/F355,"")</f>
        <v/>
      </c>
      <c r="K355" s="16" t="str">
        <f aca="false">IFERROR(E355/G355,"")</f>
        <v/>
      </c>
      <c r="L355" s="16" t="str">
        <f aca="false">IFERROR(E355/H355,"")</f>
        <v/>
      </c>
      <c r="M355" s="16" t="str">
        <f aca="false">IFERROR(I355/E355,"")</f>
        <v/>
      </c>
      <c r="N355" s="16" t="str">
        <f aca="false">IF(A355="","",A355-WEEKDAY(A355,3))</f>
        <v/>
      </c>
    </row>
    <row r="356" customFormat="false" ht="1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 t="str">
        <f aca="false">IFERROR(G356/F356,"")</f>
        <v/>
      </c>
      <c r="K356" s="16" t="str">
        <f aca="false">IFERROR(E356/G356,"")</f>
        <v/>
      </c>
      <c r="L356" s="16" t="str">
        <f aca="false">IFERROR(E356/H356,"")</f>
        <v/>
      </c>
      <c r="M356" s="16" t="str">
        <f aca="false">IFERROR(I356/E356,"")</f>
        <v/>
      </c>
      <c r="N356" s="16" t="str">
        <f aca="false">IF(A356="","",A356-WEEKDAY(A356,3))</f>
        <v/>
      </c>
    </row>
    <row r="357" customFormat="false" ht="1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 t="str">
        <f aca="false">IFERROR(G357/F357,"")</f>
        <v/>
      </c>
      <c r="K357" s="16" t="str">
        <f aca="false">IFERROR(E357/G357,"")</f>
        <v/>
      </c>
      <c r="L357" s="16" t="str">
        <f aca="false">IFERROR(E357/H357,"")</f>
        <v/>
      </c>
      <c r="M357" s="16" t="str">
        <f aca="false">IFERROR(I357/E357,"")</f>
        <v/>
      </c>
      <c r="N357" s="16" t="str">
        <f aca="false">IF(A357="","",A357-WEEKDAY(A357,3))</f>
        <v/>
      </c>
    </row>
    <row r="358" customFormat="false" ht="1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 t="str">
        <f aca="false">IFERROR(G358/F358,"")</f>
        <v/>
      </c>
      <c r="K358" s="16" t="str">
        <f aca="false">IFERROR(E358/G358,"")</f>
        <v/>
      </c>
      <c r="L358" s="16" t="str">
        <f aca="false">IFERROR(E358/H358,"")</f>
        <v/>
      </c>
      <c r="M358" s="16" t="str">
        <f aca="false">IFERROR(I358/E358,"")</f>
        <v/>
      </c>
      <c r="N358" s="16" t="str">
        <f aca="false">IF(A358="","",A358-WEEKDAY(A358,3))</f>
        <v/>
      </c>
    </row>
    <row r="359" customFormat="false" ht="1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 t="str">
        <f aca="false">IFERROR(G359/F359,"")</f>
        <v/>
      </c>
      <c r="K359" s="16" t="str">
        <f aca="false">IFERROR(E359/G359,"")</f>
        <v/>
      </c>
      <c r="L359" s="16" t="str">
        <f aca="false">IFERROR(E359/H359,"")</f>
        <v/>
      </c>
      <c r="M359" s="16" t="str">
        <f aca="false">IFERROR(I359/E359,"")</f>
        <v/>
      </c>
      <c r="N359" s="16" t="str">
        <f aca="false">IF(A359="","",A359-WEEKDAY(A359,3))</f>
        <v/>
      </c>
    </row>
    <row r="360" customFormat="false" ht="1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 t="str">
        <f aca="false">IFERROR(G360/F360,"")</f>
        <v/>
      </c>
      <c r="K360" s="16" t="str">
        <f aca="false">IFERROR(E360/G360,"")</f>
        <v/>
      </c>
      <c r="L360" s="16" t="str">
        <f aca="false">IFERROR(E360/H360,"")</f>
        <v/>
      </c>
      <c r="M360" s="16" t="str">
        <f aca="false">IFERROR(I360/E360,"")</f>
        <v/>
      </c>
      <c r="N360" s="16" t="str">
        <f aca="false">IF(A360="","",A360-WEEKDAY(A360,3))</f>
        <v/>
      </c>
    </row>
    <row r="361" customFormat="false" ht="1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 t="str">
        <f aca="false">IFERROR(G361/F361,"")</f>
        <v/>
      </c>
      <c r="K361" s="16" t="str">
        <f aca="false">IFERROR(E361/G361,"")</f>
        <v/>
      </c>
      <c r="L361" s="16" t="str">
        <f aca="false">IFERROR(E361/H361,"")</f>
        <v/>
      </c>
      <c r="M361" s="16" t="str">
        <f aca="false">IFERROR(I361/E361,"")</f>
        <v/>
      </c>
      <c r="N361" s="16" t="str">
        <f aca="false">IF(A361="","",A361-WEEKDAY(A361,3))</f>
        <v/>
      </c>
    </row>
    <row r="362" customFormat="false" ht="1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 t="str">
        <f aca="false">IFERROR(G362/F362,"")</f>
        <v/>
      </c>
      <c r="K362" s="16" t="str">
        <f aca="false">IFERROR(E362/G362,"")</f>
        <v/>
      </c>
      <c r="L362" s="16" t="str">
        <f aca="false">IFERROR(E362/H362,"")</f>
        <v/>
      </c>
      <c r="M362" s="16" t="str">
        <f aca="false">IFERROR(I362/E362,"")</f>
        <v/>
      </c>
      <c r="N362" s="16" t="str">
        <f aca="false">IF(A362="","",A362-WEEKDAY(A362,3))</f>
        <v/>
      </c>
    </row>
    <row r="363" customFormat="false" ht="1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 t="str">
        <f aca="false">IFERROR(G363/F363,"")</f>
        <v/>
      </c>
      <c r="K363" s="16" t="str">
        <f aca="false">IFERROR(E363/G363,"")</f>
        <v/>
      </c>
      <c r="L363" s="16" t="str">
        <f aca="false">IFERROR(E363/H363,"")</f>
        <v/>
      </c>
      <c r="M363" s="16" t="str">
        <f aca="false">IFERROR(I363/E363,"")</f>
        <v/>
      </c>
      <c r="N363" s="16" t="str">
        <f aca="false">IF(A363="","",A363-WEEKDAY(A363,3))</f>
        <v/>
      </c>
    </row>
    <row r="364" customFormat="false" ht="1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 t="str">
        <f aca="false">IFERROR(G364/F364,"")</f>
        <v/>
      </c>
      <c r="K364" s="16" t="str">
        <f aca="false">IFERROR(E364/G364,"")</f>
        <v/>
      </c>
      <c r="L364" s="16" t="str">
        <f aca="false">IFERROR(E364/H364,"")</f>
        <v/>
      </c>
      <c r="M364" s="16" t="str">
        <f aca="false">IFERROR(I364/E364,"")</f>
        <v/>
      </c>
      <c r="N364" s="16" t="str">
        <f aca="false">IF(A364="","",A364-WEEKDAY(A364,3))</f>
        <v/>
      </c>
    </row>
    <row r="365" customFormat="false" ht="1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 t="str">
        <f aca="false">IFERROR(G365/F365,"")</f>
        <v/>
      </c>
      <c r="K365" s="16" t="str">
        <f aca="false">IFERROR(E365/G365,"")</f>
        <v/>
      </c>
      <c r="L365" s="16" t="str">
        <f aca="false">IFERROR(E365/H365,"")</f>
        <v/>
      </c>
      <c r="M365" s="16" t="str">
        <f aca="false">IFERROR(I365/E365,"")</f>
        <v/>
      </c>
      <c r="N365" s="16" t="str">
        <f aca="false">IF(A365="","",A365-WEEKDAY(A365,3))</f>
        <v/>
      </c>
    </row>
    <row r="366" customFormat="false" ht="1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 t="str">
        <f aca="false">IFERROR(G366/F366,"")</f>
        <v/>
      </c>
      <c r="K366" s="16" t="str">
        <f aca="false">IFERROR(E366/G366,"")</f>
        <v/>
      </c>
      <c r="L366" s="16" t="str">
        <f aca="false">IFERROR(E366/H366,"")</f>
        <v/>
      </c>
      <c r="M366" s="16" t="str">
        <f aca="false">IFERROR(I366/E366,"")</f>
        <v/>
      </c>
      <c r="N366" s="16" t="str">
        <f aca="false">IF(A366="","",A366-WEEKDAY(A366,3))</f>
        <v/>
      </c>
    </row>
    <row r="367" customFormat="false" ht="1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 t="str">
        <f aca="false">IFERROR(G367/F367,"")</f>
        <v/>
      </c>
      <c r="K367" s="16" t="str">
        <f aca="false">IFERROR(E367/G367,"")</f>
        <v/>
      </c>
      <c r="L367" s="16" t="str">
        <f aca="false">IFERROR(E367/H367,"")</f>
        <v/>
      </c>
      <c r="M367" s="16" t="str">
        <f aca="false">IFERROR(I367/E367,"")</f>
        <v/>
      </c>
      <c r="N367" s="16" t="str">
        <f aca="false">IF(A367="","",A367-WEEKDAY(A367,3))</f>
        <v/>
      </c>
    </row>
    <row r="368" customFormat="false" ht="1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 t="str">
        <f aca="false">IFERROR(G368/F368,"")</f>
        <v/>
      </c>
      <c r="K368" s="16" t="str">
        <f aca="false">IFERROR(E368/G368,"")</f>
        <v/>
      </c>
      <c r="L368" s="16" t="str">
        <f aca="false">IFERROR(E368/H368,"")</f>
        <v/>
      </c>
      <c r="M368" s="16" t="str">
        <f aca="false">IFERROR(I368/E368,"")</f>
        <v/>
      </c>
      <c r="N368" s="16" t="str">
        <f aca="false">IF(A368="","",A368-WEEKDAY(A368,3))</f>
        <v/>
      </c>
    </row>
    <row r="369" customFormat="false" ht="1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 t="str">
        <f aca="false">IFERROR(G369/F369,"")</f>
        <v/>
      </c>
      <c r="K369" s="16" t="str">
        <f aca="false">IFERROR(E369/G369,"")</f>
        <v/>
      </c>
      <c r="L369" s="16" t="str">
        <f aca="false">IFERROR(E369/H369,"")</f>
        <v/>
      </c>
      <c r="M369" s="16" t="str">
        <f aca="false">IFERROR(I369/E369,"")</f>
        <v/>
      </c>
      <c r="N369" s="16" t="str">
        <f aca="false">IF(A369="","",A369-WEEKDAY(A369,3))</f>
        <v/>
      </c>
    </row>
    <row r="370" customFormat="false" ht="1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 t="str">
        <f aca="false">IFERROR(G370/F370,"")</f>
        <v/>
      </c>
      <c r="K370" s="16" t="str">
        <f aca="false">IFERROR(E370/G370,"")</f>
        <v/>
      </c>
      <c r="L370" s="16" t="str">
        <f aca="false">IFERROR(E370/H370,"")</f>
        <v/>
      </c>
      <c r="M370" s="16" t="str">
        <f aca="false">IFERROR(I370/E370,"")</f>
        <v/>
      </c>
      <c r="N370" s="16" t="str">
        <f aca="false">IF(A370="","",A370-WEEKDAY(A370,3))</f>
        <v/>
      </c>
    </row>
    <row r="371" customFormat="false" ht="1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 t="str">
        <f aca="false">IFERROR(G371/F371,"")</f>
        <v/>
      </c>
      <c r="K371" s="16" t="str">
        <f aca="false">IFERROR(E371/G371,"")</f>
        <v/>
      </c>
      <c r="L371" s="16" t="str">
        <f aca="false">IFERROR(E371/H371,"")</f>
        <v/>
      </c>
      <c r="M371" s="16" t="str">
        <f aca="false">IFERROR(I371/E371,"")</f>
        <v/>
      </c>
      <c r="N371" s="16" t="str">
        <f aca="false">IF(A371="","",A371-WEEKDAY(A371,3))</f>
        <v/>
      </c>
    </row>
    <row r="372" customFormat="false" ht="1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 t="str">
        <f aca="false">IFERROR(G372/F372,"")</f>
        <v/>
      </c>
      <c r="K372" s="16" t="str">
        <f aca="false">IFERROR(E372/G372,"")</f>
        <v/>
      </c>
      <c r="L372" s="16" t="str">
        <f aca="false">IFERROR(E372/H372,"")</f>
        <v/>
      </c>
      <c r="M372" s="16" t="str">
        <f aca="false">IFERROR(I372/E372,"")</f>
        <v/>
      </c>
      <c r="N372" s="16" t="str">
        <f aca="false">IF(A372="","",A372-WEEKDAY(A372,3))</f>
        <v/>
      </c>
    </row>
    <row r="373" customFormat="false" ht="1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 t="str">
        <f aca="false">IFERROR(G373/F373,"")</f>
        <v/>
      </c>
      <c r="K373" s="16" t="str">
        <f aca="false">IFERROR(E373/G373,"")</f>
        <v/>
      </c>
      <c r="L373" s="16" t="str">
        <f aca="false">IFERROR(E373/H373,"")</f>
        <v/>
      </c>
      <c r="M373" s="16" t="str">
        <f aca="false">IFERROR(I373/E373,"")</f>
        <v/>
      </c>
      <c r="N373" s="16" t="str">
        <f aca="false">IF(A373="","",A373-WEEKDAY(A373,3))</f>
        <v/>
      </c>
    </row>
    <row r="374" customFormat="false" ht="1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 t="str">
        <f aca="false">IFERROR(G374/F374,"")</f>
        <v/>
      </c>
      <c r="K374" s="16" t="str">
        <f aca="false">IFERROR(E374/G374,"")</f>
        <v/>
      </c>
      <c r="L374" s="16" t="str">
        <f aca="false">IFERROR(E374/H374,"")</f>
        <v/>
      </c>
      <c r="M374" s="16" t="str">
        <f aca="false">IFERROR(I374/E374,"")</f>
        <v/>
      </c>
      <c r="N374" s="16" t="str">
        <f aca="false">IF(A374="","",A374-WEEKDAY(A374,3))</f>
        <v/>
      </c>
    </row>
    <row r="375" customFormat="false" ht="1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 t="str">
        <f aca="false">IFERROR(G375/F375,"")</f>
        <v/>
      </c>
      <c r="K375" s="16" t="str">
        <f aca="false">IFERROR(E375/G375,"")</f>
        <v/>
      </c>
      <c r="L375" s="16" t="str">
        <f aca="false">IFERROR(E375/H375,"")</f>
        <v/>
      </c>
      <c r="M375" s="16" t="str">
        <f aca="false">IFERROR(I375/E375,"")</f>
        <v/>
      </c>
      <c r="N375" s="16" t="str">
        <f aca="false">IF(A375="","",A375-WEEKDAY(A375,3))</f>
        <v/>
      </c>
    </row>
    <row r="376" customFormat="false" ht="1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 t="str">
        <f aca="false">IFERROR(G376/F376,"")</f>
        <v/>
      </c>
      <c r="K376" s="16" t="str">
        <f aca="false">IFERROR(E376/G376,"")</f>
        <v/>
      </c>
      <c r="L376" s="16" t="str">
        <f aca="false">IFERROR(E376/H376,"")</f>
        <v/>
      </c>
      <c r="M376" s="16" t="str">
        <f aca="false">IFERROR(I376/E376,"")</f>
        <v/>
      </c>
      <c r="N376" s="16" t="str">
        <f aca="false">IF(A376="","",A376-WEEKDAY(A376,3))</f>
        <v/>
      </c>
    </row>
    <row r="377" customFormat="false" ht="1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 t="str">
        <f aca="false">IFERROR(G377/F377,"")</f>
        <v/>
      </c>
      <c r="K377" s="16" t="str">
        <f aca="false">IFERROR(E377/G377,"")</f>
        <v/>
      </c>
      <c r="L377" s="16" t="str">
        <f aca="false">IFERROR(E377/H377,"")</f>
        <v/>
      </c>
      <c r="M377" s="16" t="str">
        <f aca="false">IFERROR(I377/E377,"")</f>
        <v/>
      </c>
      <c r="N377" s="16" t="str">
        <f aca="false">IF(A377="","",A377-WEEKDAY(A377,3))</f>
        <v/>
      </c>
    </row>
    <row r="378" customFormat="false" ht="1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 t="str">
        <f aca="false">IFERROR(G378/F378,"")</f>
        <v/>
      </c>
      <c r="K378" s="16" t="str">
        <f aca="false">IFERROR(E378/G378,"")</f>
        <v/>
      </c>
      <c r="L378" s="16" t="str">
        <f aca="false">IFERROR(E378/H378,"")</f>
        <v/>
      </c>
      <c r="M378" s="16" t="str">
        <f aca="false">IFERROR(I378/E378,"")</f>
        <v/>
      </c>
      <c r="N378" s="16" t="str">
        <f aca="false">IF(A378="","",A378-WEEKDAY(A378,3))</f>
        <v/>
      </c>
    </row>
    <row r="379" customFormat="false" ht="1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 t="str">
        <f aca="false">IFERROR(G379/F379,"")</f>
        <v/>
      </c>
      <c r="K379" s="16" t="str">
        <f aca="false">IFERROR(E379/G379,"")</f>
        <v/>
      </c>
      <c r="L379" s="16" t="str">
        <f aca="false">IFERROR(E379/H379,"")</f>
        <v/>
      </c>
      <c r="M379" s="16" t="str">
        <f aca="false">IFERROR(I379/E379,"")</f>
        <v/>
      </c>
      <c r="N379" s="16" t="str">
        <f aca="false">IF(A379="","",A379-WEEKDAY(A379,3))</f>
        <v/>
      </c>
    </row>
    <row r="380" customFormat="false" ht="1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 t="str">
        <f aca="false">IFERROR(G380/F380,"")</f>
        <v/>
      </c>
      <c r="K380" s="16" t="str">
        <f aca="false">IFERROR(E380/G380,"")</f>
        <v/>
      </c>
      <c r="L380" s="16" t="str">
        <f aca="false">IFERROR(E380/H380,"")</f>
        <v/>
      </c>
      <c r="M380" s="16" t="str">
        <f aca="false">IFERROR(I380/E380,"")</f>
        <v/>
      </c>
      <c r="N380" s="16" t="str">
        <f aca="false">IF(A380="","",A380-WEEKDAY(A380,3))</f>
        <v/>
      </c>
    </row>
    <row r="381" customFormat="false" ht="1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 t="str">
        <f aca="false">IFERROR(G381/F381,"")</f>
        <v/>
      </c>
      <c r="K381" s="16" t="str">
        <f aca="false">IFERROR(E381/G381,"")</f>
        <v/>
      </c>
      <c r="L381" s="16" t="str">
        <f aca="false">IFERROR(E381/H381,"")</f>
        <v/>
      </c>
      <c r="M381" s="16" t="str">
        <f aca="false">IFERROR(I381/E381,"")</f>
        <v/>
      </c>
      <c r="N381" s="16" t="str">
        <f aca="false">IF(A381="","",A381-WEEKDAY(A381,3))</f>
        <v/>
      </c>
    </row>
    <row r="382" customFormat="false" ht="1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 t="str">
        <f aca="false">IFERROR(G382/F382,"")</f>
        <v/>
      </c>
      <c r="K382" s="16" t="str">
        <f aca="false">IFERROR(E382/G382,"")</f>
        <v/>
      </c>
      <c r="L382" s="16" t="str">
        <f aca="false">IFERROR(E382/H382,"")</f>
        <v/>
      </c>
      <c r="M382" s="16" t="str">
        <f aca="false">IFERROR(I382/E382,"")</f>
        <v/>
      </c>
      <c r="N382" s="16" t="str">
        <f aca="false">IF(A382="","",A382-WEEKDAY(A382,3))</f>
        <v/>
      </c>
    </row>
    <row r="383" customFormat="false" ht="1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 t="str">
        <f aca="false">IFERROR(G383/F383,"")</f>
        <v/>
      </c>
      <c r="K383" s="16" t="str">
        <f aca="false">IFERROR(E383/G383,"")</f>
        <v/>
      </c>
      <c r="L383" s="16" t="str">
        <f aca="false">IFERROR(E383/H383,"")</f>
        <v/>
      </c>
      <c r="M383" s="16" t="str">
        <f aca="false">IFERROR(I383/E383,"")</f>
        <v/>
      </c>
      <c r="N383" s="16" t="str">
        <f aca="false">IF(A383="","",A383-WEEKDAY(A383,3))</f>
        <v/>
      </c>
    </row>
    <row r="384" customFormat="false" ht="1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 t="str">
        <f aca="false">IFERROR(G384/F384,"")</f>
        <v/>
      </c>
      <c r="K384" s="16" t="str">
        <f aca="false">IFERROR(E384/G384,"")</f>
        <v/>
      </c>
      <c r="L384" s="16" t="str">
        <f aca="false">IFERROR(E384/H384,"")</f>
        <v/>
      </c>
      <c r="M384" s="16" t="str">
        <f aca="false">IFERROR(I384/E384,"")</f>
        <v/>
      </c>
      <c r="N384" s="16" t="str">
        <f aca="false">IF(A384="","",A384-WEEKDAY(A384,3))</f>
        <v/>
      </c>
    </row>
    <row r="385" customFormat="false" ht="1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 t="str">
        <f aca="false">IFERROR(G385/F385,"")</f>
        <v/>
      </c>
      <c r="K385" s="16" t="str">
        <f aca="false">IFERROR(E385/G385,"")</f>
        <v/>
      </c>
      <c r="L385" s="16" t="str">
        <f aca="false">IFERROR(E385/H385,"")</f>
        <v/>
      </c>
      <c r="M385" s="16" t="str">
        <f aca="false">IFERROR(I385/E385,"")</f>
        <v/>
      </c>
      <c r="N385" s="16" t="str">
        <f aca="false">IF(A385="","",A385-WEEKDAY(A385,3))</f>
        <v/>
      </c>
    </row>
    <row r="386" customFormat="false" ht="1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 t="str">
        <f aca="false">IFERROR(G386/F386,"")</f>
        <v/>
      </c>
      <c r="K386" s="16" t="str">
        <f aca="false">IFERROR(E386/G386,"")</f>
        <v/>
      </c>
      <c r="L386" s="16" t="str">
        <f aca="false">IFERROR(E386/H386,"")</f>
        <v/>
      </c>
      <c r="M386" s="16" t="str">
        <f aca="false">IFERROR(I386/E386,"")</f>
        <v/>
      </c>
      <c r="N386" s="16" t="str">
        <f aca="false">IF(A386="","",A386-WEEKDAY(A386,3))</f>
        <v/>
      </c>
    </row>
    <row r="387" customFormat="false" ht="1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 t="str">
        <f aca="false">IFERROR(G387/F387,"")</f>
        <v/>
      </c>
      <c r="K387" s="16" t="str">
        <f aca="false">IFERROR(E387/G387,"")</f>
        <v/>
      </c>
      <c r="L387" s="16" t="str">
        <f aca="false">IFERROR(E387/H387,"")</f>
        <v/>
      </c>
      <c r="M387" s="16" t="str">
        <f aca="false">IFERROR(I387/E387,"")</f>
        <v/>
      </c>
      <c r="N387" s="16" t="str">
        <f aca="false">IF(A387="","",A387-WEEKDAY(A387,3))</f>
        <v/>
      </c>
    </row>
    <row r="388" customFormat="false" ht="1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 t="str">
        <f aca="false">IFERROR(G388/F388,"")</f>
        <v/>
      </c>
      <c r="K388" s="16" t="str">
        <f aca="false">IFERROR(E388/G388,"")</f>
        <v/>
      </c>
      <c r="L388" s="16" t="str">
        <f aca="false">IFERROR(E388/H388,"")</f>
        <v/>
      </c>
      <c r="M388" s="16" t="str">
        <f aca="false">IFERROR(I388/E388,"")</f>
        <v/>
      </c>
      <c r="N388" s="16" t="str">
        <f aca="false">IF(A388="","",A388-WEEKDAY(A388,3))</f>
        <v/>
      </c>
    </row>
    <row r="389" customFormat="false" ht="1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 t="str">
        <f aca="false">IFERROR(G389/F389,"")</f>
        <v/>
      </c>
      <c r="K389" s="16" t="str">
        <f aca="false">IFERROR(E389/G389,"")</f>
        <v/>
      </c>
      <c r="L389" s="16" t="str">
        <f aca="false">IFERROR(E389/H389,"")</f>
        <v/>
      </c>
      <c r="M389" s="16" t="str">
        <f aca="false">IFERROR(I389/E389,"")</f>
        <v/>
      </c>
      <c r="N389" s="16" t="str">
        <f aca="false">IF(A389="","",A389-WEEKDAY(A389,3))</f>
        <v/>
      </c>
    </row>
    <row r="390" customFormat="false" ht="1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 t="str">
        <f aca="false">IFERROR(G390/F390,"")</f>
        <v/>
      </c>
      <c r="K390" s="16" t="str">
        <f aca="false">IFERROR(E390/G390,"")</f>
        <v/>
      </c>
      <c r="L390" s="16" t="str">
        <f aca="false">IFERROR(E390/H390,"")</f>
        <v/>
      </c>
      <c r="M390" s="16" t="str">
        <f aca="false">IFERROR(I390/E390,"")</f>
        <v/>
      </c>
      <c r="N390" s="16" t="str">
        <f aca="false">IF(A390="","",A390-WEEKDAY(A390,3))</f>
        <v/>
      </c>
    </row>
    <row r="391" customFormat="false" ht="1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 t="str">
        <f aca="false">IFERROR(G391/F391,"")</f>
        <v/>
      </c>
      <c r="K391" s="16" t="str">
        <f aca="false">IFERROR(E391/G391,"")</f>
        <v/>
      </c>
      <c r="L391" s="16" t="str">
        <f aca="false">IFERROR(E391/H391,"")</f>
        <v/>
      </c>
      <c r="M391" s="16" t="str">
        <f aca="false">IFERROR(I391/E391,"")</f>
        <v/>
      </c>
      <c r="N391" s="16" t="str">
        <f aca="false">IF(A391="","",A391-WEEKDAY(A391,3))</f>
        <v/>
      </c>
    </row>
    <row r="392" customFormat="false" ht="1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 t="str">
        <f aca="false">IFERROR(G392/F392,"")</f>
        <v/>
      </c>
      <c r="K392" s="16" t="str">
        <f aca="false">IFERROR(E392/G392,"")</f>
        <v/>
      </c>
      <c r="L392" s="16" t="str">
        <f aca="false">IFERROR(E392/H392,"")</f>
        <v/>
      </c>
      <c r="M392" s="16" t="str">
        <f aca="false">IFERROR(I392/E392,"")</f>
        <v/>
      </c>
      <c r="N392" s="16" t="str">
        <f aca="false">IF(A392="","",A392-WEEKDAY(A392,3))</f>
        <v/>
      </c>
    </row>
    <row r="393" customFormat="false" ht="1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 t="str">
        <f aca="false">IFERROR(G393/F393,"")</f>
        <v/>
      </c>
      <c r="K393" s="16" t="str">
        <f aca="false">IFERROR(E393/G393,"")</f>
        <v/>
      </c>
      <c r="L393" s="16" t="str">
        <f aca="false">IFERROR(E393/H393,"")</f>
        <v/>
      </c>
      <c r="M393" s="16" t="str">
        <f aca="false">IFERROR(I393/E393,"")</f>
        <v/>
      </c>
      <c r="N393" s="16" t="str">
        <f aca="false">IF(A393="","",A393-WEEKDAY(A393,3))</f>
        <v/>
      </c>
    </row>
    <row r="394" customFormat="false" ht="1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 t="str">
        <f aca="false">IFERROR(G394/F394,"")</f>
        <v/>
      </c>
      <c r="K394" s="16" t="str">
        <f aca="false">IFERROR(E394/G394,"")</f>
        <v/>
      </c>
      <c r="L394" s="16" t="str">
        <f aca="false">IFERROR(E394/H394,"")</f>
        <v/>
      </c>
      <c r="M394" s="16" t="str">
        <f aca="false">IFERROR(I394/E394,"")</f>
        <v/>
      </c>
      <c r="N394" s="16" t="str">
        <f aca="false">IF(A394="","",A394-WEEKDAY(A394,3))</f>
        <v/>
      </c>
    </row>
    <row r="395" customFormat="false" ht="1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 t="str">
        <f aca="false">IFERROR(G395/F395,"")</f>
        <v/>
      </c>
      <c r="K395" s="16" t="str">
        <f aca="false">IFERROR(E395/G395,"")</f>
        <v/>
      </c>
      <c r="L395" s="16" t="str">
        <f aca="false">IFERROR(E395/H395,"")</f>
        <v/>
      </c>
      <c r="M395" s="16" t="str">
        <f aca="false">IFERROR(I395/E395,"")</f>
        <v/>
      </c>
      <c r="N395" s="16" t="str">
        <f aca="false">IF(A395="","",A395-WEEKDAY(A395,3))</f>
        <v/>
      </c>
    </row>
    <row r="396" customFormat="false" ht="1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 t="str">
        <f aca="false">IFERROR(G396/F396,"")</f>
        <v/>
      </c>
      <c r="K396" s="16" t="str">
        <f aca="false">IFERROR(E396/G396,"")</f>
        <v/>
      </c>
      <c r="L396" s="16" t="str">
        <f aca="false">IFERROR(E396/H396,"")</f>
        <v/>
      </c>
      <c r="M396" s="16" t="str">
        <f aca="false">IFERROR(I396/E396,"")</f>
        <v/>
      </c>
      <c r="N396" s="16" t="str">
        <f aca="false">IF(A396="","",A396-WEEKDAY(A396,3))</f>
        <v/>
      </c>
    </row>
    <row r="397" customFormat="false" ht="1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 t="str">
        <f aca="false">IFERROR(G397/F397,"")</f>
        <v/>
      </c>
      <c r="K397" s="16" t="str">
        <f aca="false">IFERROR(E397/G397,"")</f>
        <v/>
      </c>
      <c r="L397" s="16" t="str">
        <f aca="false">IFERROR(E397/H397,"")</f>
        <v/>
      </c>
      <c r="M397" s="16" t="str">
        <f aca="false">IFERROR(I397/E397,"")</f>
        <v/>
      </c>
      <c r="N397" s="16" t="str">
        <f aca="false">IF(A397="","",A397-WEEKDAY(A397,3))</f>
        <v/>
      </c>
    </row>
    <row r="398" customFormat="false" ht="1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 t="str">
        <f aca="false">IFERROR(G398/F398,"")</f>
        <v/>
      </c>
      <c r="K398" s="16" t="str">
        <f aca="false">IFERROR(E398/G398,"")</f>
        <v/>
      </c>
      <c r="L398" s="16" t="str">
        <f aca="false">IFERROR(E398/H398,"")</f>
        <v/>
      </c>
      <c r="M398" s="16" t="str">
        <f aca="false">IFERROR(I398/E398,"")</f>
        <v/>
      </c>
      <c r="N398" s="16" t="str">
        <f aca="false">IF(A398="","",A398-WEEKDAY(A398,3))</f>
        <v/>
      </c>
    </row>
    <row r="399" customFormat="false" ht="1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 t="str">
        <f aca="false">IFERROR(G399/F399,"")</f>
        <v/>
      </c>
      <c r="K399" s="16" t="str">
        <f aca="false">IFERROR(E399/G399,"")</f>
        <v/>
      </c>
      <c r="L399" s="16" t="str">
        <f aca="false">IFERROR(E399/H399,"")</f>
        <v/>
      </c>
      <c r="M399" s="16" t="str">
        <f aca="false">IFERROR(I399/E399,"")</f>
        <v/>
      </c>
      <c r="N399" s="16" t="str">
        <f aca="false">IF(A399="","",A399-WEEKDAY(A399,3))</f>
        <v/>
      </c>
    </row>
    <row r="400" customFormat="false" ht="1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 t="str">
        <f aca="false">IFERROR(G400/F400,"")</f>
        <v/>
      </c>
      <c r="K400" s="16" t="str">
        <f aca="false">IFERROR(E400/G400,"")</f>
        <v/>
      </c>
      <c r="L400" s="16" t="str">
        <f aca="false">IFERROR(E400/H400,"")</f>
        <v/>
      </c>
      <c r="M400" s="16" t="str">
        <f aca="false">IFERROR(I400/E400,"")</f>
        <v/>
      </c>
      <c r="N400" s="16" t="str">
        <f aca="false">IF(A400="","",A400-WEEKDAY(A400,3))</f>
        <v/>
      </c>
    </row>
    <row r="401" customFormat="false" ht="1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 t="str">
        <f aca="false">IFERROR(G401/F401,"")</f>
        <v/>
      </c>
      <c r="K401" s="16" t="str">
        <f aca="false">IFERROR(E401/G401,"")</f>
        <v/>
      </c>
      <c r="L401" s="16" t="str">
        <f aca="false">IFERROR(E401/H401,"")</f>
        <v/>
      </c>
      <c r="M401" s="16" t="str">
        <f aca="false">IFERROR(I401/E401,"")</f>
        <v/>
      </c>
      <c r="N401" s="16" t="str">
        <f aca="false">IF(A401="","",A401-WEEKDAY(A401,3))</f>
        <v/>
      </c>
    </row>
    <row r="402" customFormat="false" ht="1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 t="str">
        <f aca="false">IFERROR(G402/F402,"")</f>
        <v/>
      </c>
      <c r="K402" s="16" t="str">
        <f aca="false">IFERROR(E402/G402,"")</f>
        <v/>
      </c>
      <c r="L402" s="16" t="str">
        <f aca="false">IFERROR(E402/H402,"")</f>
        <v/>
      </c>
      <c r="M402" s="16" t="str">
        <f aca="false">IFERROR(I402/E402,"")</f>
        <v/>
      </c>
      <c r="N402" s="16" t="str">
        <f aca="false">IF(A402="","",A402-WEEKDAY(A402,3))</f>
        <v/>
      </c>
    </row>
    <row r="403" customFormat="false" ht="1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 t="str">
        <f aca="false">IFERROR(G403/F403,"")</f>
        <v/>
      </c>
      <c r="K403" s="16" t="str">
        <f aca="false">IFERROR(E403/G403,"")</f>
        <v/>
      </c>
      <c r="L403" s="16" t="str">
        <f aca="false">IFERROR(E403/H403,"")</f>
        <v/>
      </c>
      <c r="M403" s="16" t="str">
        <f aca="false">IFERROR(I403/E403,"")</f>
        <v/>
      </c>
      <c r="N403" s="16" t="str">
        <f aca="false">IF(A403="","",A403-WEEKDAY(A403,3))</f>
        <v/>
      </c>
    </row>
    <row r="404" customFormat="false" ht="1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 t="str">
        <f aca="false">IFERROR(G404/F404,"")</f>
        <v/>
      </c>
      <c r="K404" s="16" t="str">
        <f aca="false">IFERROR(E404/G404,"")</f>
        <v/>
      </c>
      <c r="L404" s="16" t="str">
        <f aca="false">IFERROR(E404/H404,"")</f>
        <v/>
      </c>
      <c r="M404" s="16" t="str">
        <f aca="false">IFERROR(I404/E404,"")</f>
        <v/>
      </c>
      <c r="N404" s="16" t="str">
        <f aca="false">IF(A404="","",A404-WEEKDAY(A404,3))</f>
        <v/>
      </c>
    </row>
    <row r="405" customFormat="false" ht="1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 t="str">
        <f aca="false">IFERROR(G405/F405,"")</f>
        <v/>
      </c>
      <c r="K405" s="16" t="str">
        <f aca="false">IFERROR(E405/G405,"")</f>
        <v/>
      </c>
      <c r="L405" s="16" t="str">
        <f aca="false">IFERROR(E405/H405,"")</f>
        <v/>
      </c>
      <c r="M405" s="16" t="str">
        <f aca="false">IFERROR(I405/E405,"")</f>
        <v/>
      </c>
      <c r="N405" s="16" t="str">
        <f aca="false">IF(A405="","",A405-WEEKDAY(A405,3))</f>
        <v/>
      </c>
    </row>
    <row r="406" customFormat="false" ht="1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 t="str">
        <f aca="false">IFERROR(G406/F406,"")</f>
        <v/>
      </c>
      <c r="K406" s="16" t="str">
        <f aca="false">IFERROR(E406/G406,"")</f>
        <v/>
      </c>
      <c r="L406" s="16" t="str">
        <f aca="false">IFERROR(E406/H406,"")</f>
        <v/>
      </c>
      <c r="M406" s="16" t="str">
        <f aca="false">IFERROR(I406/E406,"")</f>
        <v/>
      </c>
      <c r="N406" s="16" t="str">
        <f aca="false">IF(A406="","",A406-WEEKDAY(A406,3))</f>
        <v/>
      </c>
    </row>
    <row r="407" customFormat="false" ht="1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 t="str">
        <f aca="false">IFERROR(G407/F407,"")</f>
        <v/>
      </c>
      <c r="K407" s="16" t="str">
        <f aca="false">IFERROR(E407/G407,"")</f>
        <v/>
      </c>
      <c r="L407" s="16" t="str">
        <f aca="false">IFERROR(E407/H407,"")</f>
        <v/>
      </c>
      <c r="M407" s="16" t="str">
        <f aca="false">IFERROR(I407/E407,"")</f>
        <v/>
      </c>
      <c r="N407" s="16" t="str">
        <f aca="false">IF(A407="","",A407-WEEKDAY(A407,3))</f>
        <v/>
      </c>
    </row>
    <row r="408" customFormat="false" ht="1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 t="str">
        <f aca="false">IFERROR(G408/F408,"")</f>
        <v/>
      </c>
      <c r="K408" s="16" t="str">
        <f aca="false">IFERROR(E408/G408,"")</f>
        <v/>
      </c>
      <c r="L408" s="16" t="str">
        <f aca="false">IFERROR(E408/H408,"")</f>
        <v/>
      </c>
      <c r="M408" s="16" t="str">
        <f aca="false">IFERROR(I408/E408,"")</f>
        <v/>
      </c>
      <c r="N408" s="16" t="str">
        <f aca="false">IF(A408="","",A408-WEEKDAY(A408,3))</f>
        <v/>
      </c>
    </row>
    <row r="409" customFormat="false" ht="1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 t="str">
        <f aca="false">IFERROR(G409/F409,"")</f>
        <v/>
      </c>
      <c r="K409" s="16" t="str">
        <f aca="false">IFERROR(E409/G409,"")</f>
        <v/>
      </c>
      <c r="L409" s="16" t="str">
        <f aca="false">IFERROR(E409/H409,"")</f>
        <v/>
      </c>
      <c r="M409" s="16" t="str">
        <f aca="false">IFERROR(I409/E409,"")</f>
        <v/>
      </c>
      <c r="N409" s="16" t="str">
        <f aca="false">IF(A409="","",A409-WEEKDAY(A409,3))</f>
        <v/>
      </c>
    </row>
    <row r="410" customFormat="false" ht="1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 t="str">
        <f aca="false">IFERROR(G410/F410,"")</f>
        <v/>
      </c>
      <c r="K410" s="16" t="str">
        <f aca="false">IFERROR(E410/G410,"")</f>
        <v/>
      </c>
      <c r="L410" s="16" t="str">
        <f aca="false">IFERROR(E410/H410,"")</f>
        <v/>
      </c>
      <c r="M410" s="16" t="str">
        <f aca="false">IFERROR(I410/E410,"")</f>
        <v/>
      </c>
      <c r="N410" s="16" t="str">
        <f aca="false">IF(A410="","",A410-WEEKDAY(A410,3))</f>
        <v/>
      </c>
    </row>
    <row r="411" customFormat="false" ht="1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 t="str">
        <f aca="false">IFERROR(G411/F411,"")</f>
        <v/>
      </c>
      <c r="K411" s="16" t="str">
        <f aca="false">IFERROR(E411/G411,"")</f>
        <v/>
      </c>
      <c r="L411" s="16" t="str">
        <f aca="false">IFERROR(E411/H411,"")</f>
        <v/>
      </c>
      <c r="M411" s="16" t="str">
        <f aca="false">IFERROR(I411/E411,"")</f>
        <v/>
      </c>
      <c r="N411" s="16" t="str">
        <f aca="false">IF(A411="","",A411-WEEKDAY(A411,3))</f>
        <v/>
      </c>
    </row>
    <row r="412" customFormat="false" ht="1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 t="str">
        <f aca="false">IFERROR(G412/F412,"")</f>
        <v/>
      </c>
      <c r="K412" s="16" t="str">
        <f aca="false">IFERROR(E412/G412,"")</f>
        <v/>
      </c>
      <c r="L412" s="16" t="str">
        <f aca="false">IFERROR(E412/H412,"")</f>
        <v/>
      </c>
      <c r="M412" s="16" t="str">
        <f aca="false">IFERROR(I412/E412,"")</f>
        <v/>
      </c>
      <c r="N412" s="16" t="str">
        <f aca="false">IF(A412="","",A412-WEEKDAY(A412,3))</f>
        <v/>
      </c>
    </row>
    <row r="413" customFormat="false" ht="1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 t="str">
        <f aca="false">IFERROR(G413/F413,"")</f>
        <v/>
      </c>
      <c r="K413" s="16" t="str">
        <f aca="false">IFERROR(E413/G413,"")</f>
        <v/>
      </c>
      <c r="L413" s="16" t="str">
        <f aca="false">IFERROR(E413/H413,"")</f>
        <v/>
      </c>
      <c r="M413" s="16" t="str">
        <f aca="false">IFERROR(I413/E413,"")</f>
        <v/>
      </c>
      <c r="N413" s="16" t="str">
        <f aca="false">IF(A413="","",A413-WEEKDAY(A413,3))</f>
        <v/>
      </c>
    </row>
    <row r="414" customFormat="false" ht="1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 t="str">
        <f aca="false">IFERROR(G414/F414,"")</f>
        <v/>
      </c>
      <c r="K414" s="16" t="str">
        <f aca="false">IFERROR(E414/G414,"")</f>
        <v/>
      </c>
      <c r="L414" s="16" t="str">
        <f aca="false">IFERROR(E414/H414,"")</f>
        <v/>
      </c>
      <c r="M414" s="16" t="str">
        <f aca="false">IFERROR(I414/E414,"")</f>
        <v/>
      </c>
      <c r="N414" s="16" t="str">
        <f aca="false">IF(A414="","",A414-WEEKDAY(A414,3))</f>
        <v/>
      </c>
    </row>
    <row r="415" customFormat="false" ht="1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 t="str">
        <f aca="false">IFERROR(G415/F415,"")</f>
        <v/>
      </c>
      <c r="K415" s="16" t="str">
        <f aca="false">IFERROR(E415/G415,"")</f>
        <v/>
      </c>
      <c r="L415" s="16" t="str">
        <f aca="false">IFERROR(E415/H415,"")</f>
        <v/>
      </c>
      <c r="M415" s="16" t="str">
        <f aca="false">IFERROR(I415/E415,"")</f>
        <v/>
      </c>
      <c r="N415" s="16" t="str">
        <f aca="false">IF(A415="","",A415-WEEKDAY(A415,3))</f>
        <v/>
      </c>
    </row>
    <row r="416" customFormat="false" ht="1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 t="str">
        <f aca="false">IFERROR(G416/F416,"")</f>
        <v/>
      </c>
      <c r="K416" s="16" t="str">
        <f aca="false">IFERROR(E416/G416,"")</f>
        <v/>
      </c>
      <c r="L416" s="16" t="str">
        <f aca="false">IFERROR(E416/H416,"")</f>
        <v/>
      </c>
      <c r="M416" s="16" t="str">
        <f aca="false">IFERROR(I416/E416,"")</f>
        <v/>
      </c>
      <c r="N416" s="16" t="str">
        <f aca="false">IF(A416="","",A416-WEEKDAY(A416,3))</f>
        <v/>
      </c>
    </row>
    <row r="417" customFormat="false" ht="1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 t="str">
        <f aca="false">IFERROR(G417/F417,"")</f>
        <v/>
      </c>
      <c r="K417" s="16" t="str">
        <f aca="false">IFERROR(E417/G417,"")</f>
        <v/>
      </c>
      <c r="L417" s="16" t="str">
        <f aca="false">IFERROR(E417/H417,"")</f>
        <v/>
      </c>
      <c r="M417" s="16" t="str">
        <f aca="false">IFERROR(I417/E417,"")</f>
        <v/>
      </c>
      <c r="N417" s="16" t="str">
        <f aca="false">IF(A417="","",A417-WEEKDAY(A417,3))</f>
        <v/>
      </c>
    </row>
    <row r="418" customFormat="false" ht="1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 t="str">
        <f aca="false">IFERROR(G418/F418,"")</f>
        <v/>
      </c>
      <c r="K418" s="16" t="str">
        <f aca="false">IFERROR(E418/G418,"")</f>
        <v/>
      </c>
      <c r="L418" s="16" t="str">
        <f aca="false">IFERROR(E418/H418,"")</f>
        <v/>
      </c>
      <c r="M418" s="16" t="str">
        <f aca="false">IFERROR(I418/E418,"")</f>
        <v/>
      </c>
      <c r="N418" s="16" t="str">
        <f aca="false">IF(A418="","",A418-WEEKDAY(A418,3))</f>
        <v/>
      </c>
    </row>
    <row r="419" customFormat="false" ht="1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 t="str">
        <f aca="false">IFERROR(G419/F419,"")</f>
        <v/>
      </c>
      <c r="K419" s="16" t="str">
        <f aca="false">IFERROR(E419/G419,"")</f>
        <v/>
      </c>
      <c r="L419" s="16" t="str">
        <f aca="false">IFERROR(E419/H419,"")</f>
        <v/>
      </c>
      <c r="M419" s="16" t="str">
        <f aca="false">IFERROR(I419/E419,"")</f>
        <v/>
      </c>
      <c r="N419" s="16" t="str">
        <f aca="false">IF(A419="","",A419-WEEKDAY(A419,3))</f>
        <v/>
      </c>
    </row>
    <row r="420" customFormat="false" ht="1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 t="str">
        <f aca="false">IFERROR(G420/F420,"")</f>
        <v/>
      </c>
      <c r="K420" s="16" t="str">
        <f aca="false">IFERROR(E420/G420,"")</f>
        <v/>
      </c>
      <c r="L420" s="16" t="str">
        <f aca="false">IFERROR(E420/H420,"")</f>
        <v/>
      </c>
      <c r="M420" s="16" t="str">
        <f aca="false">IFERROR(I420/E420,"")</f>
        <v/>
      </c>
      <c r="N420" s="16" t="str">
        <f aca="false">IF(A420="","",A420-WEEKDAY(A420,3))</f>
        <v/>
      </c>
    </row>
    <row r="421" customFormat="false" ht="1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 t="str">
        <f aca="false">IFERROR(G421/F421,"")</f>
        <v/>
      </c>
      <c r="K421" s="16" t="str">
        <f aca="false">IFERROR(E421/G421,"")</f>
        <v/>
      </c>
      <c r="L421" s="16" t="str">
        <f aca="false">IFERROR(E421/H421,"")</f>
        <v/>
      </c>
      <c r="M421" s="16" t="str">
        <f aca="false">IFERROR(I421/E421,"")</f>
        <v/>
      </c>
      <c r="N421" s="16" t="str">
        <f aca="false">IF(A421="","",A421-WEEKDAY(A421,3))</f>
        <v/>
      </c>
    </row>
    <row r="422" customFormat="false" ht="1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 t="str">
        <f aca="false">IFERROR(G422/F422,"")</f>
        <v/>
      </c>
      <c r="K422" s="16" t="str">
        <f aca="false">IFERROR(E422/G422,"")</f>
        <v/>
      </c>
      <c r="L422" s="16" t="str">
        <f aca="false">IFERROR(E422/H422,"")</f>
        <v/>
      </c>
      <c r="M422" s="16" t="str">
        <f aca="false">IFERROR(I422/E422,"")</f>
        <v/>
      </c>
      <c r="N422" s="16" t="str">
        <f aca="false">IF(A422="","",A422-WEEKDAY(A422,3))</f>
        <v/>
      </c>
    </row>
    <row r="423" customFormat="false" ht="1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 t="str">
        <f aca="false">IFERROR(G423/F423,"")</f>
        <v/>
      </c>
      <c r="K423" s="16" t="str">
        <f aca="false">IFERROR(E423/G423,"")</f>
        <v/>
      </c>
      <c r="L423" s="16" t="str">
        <f aca="false">IFERROR(E423/H423,"")</f>
        <v/>
      </c>
      <c r="M423" s="16" t="str">
        <f aca="false">IFERROR(I423/E423,"")</f>
        <v/>
      </c>
      <c r="N423" s="16" t="str">
        <f aca="false">IF(A423="","",A423-WEEKDAY(A423,3))</f>
        <v/>
      </c>
    </row>
    <row r="424" customFormat="false" ht="1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 t="str">
        <f aca="false">IFERROR(G424/F424,"")</f>
        <v/>
      </c>
      <c r="K424" s="16" t="str">
        <f aca="false">IFERROR(E424/G424,"")</f>
        <v/>
      </c>
      <c r="L424" s="16" t="str">
        <f aca="false">IFERROR(E424/H424,"")</f>
        <v/>
      </c>
      <c r="M424" s="16" t="str">
        <f aca="false">IFERROR(I424/E424,"")</f>
        <v/>
      </c>
      <c r="N424" s="16" t="str">
        <f aca="false">IF(A424="","",A424-WEEKDAY(A424,3))</f>
        <v/>
      </c>
    </row>
    <row r="425" customFormat="false" ht="1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 t="str">
        <f aca="false">IFERROR(G425/F425,"")</f>
        <v/>
      </c>
      <c r="K425" s="16" t="str">
        <f aca="false">IFERROR(E425/G425,"")</f>
        <v/>
      </c>
      <c r="L425" s="16" t="str">
        <f aca="false">IFERROR(E425/H425,"")</f>
        <v/>
      </c>
      <c r="M425" s="16" t="str">
        <f aca="false">IFERROR(I425/E425,"")</f>
        <v/>
      </c>
      <c r="N425" s="16" t="str">
        <f aca="false">IF(A425="","",A425-WEEKDAY(A425,3))</f>
        <v/>
      </c>
    </row>
    <row r="426" customFormat="false" ht="1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 t="str">
        <f aca="false">IFERROR(G426/F426,"")</f>
        <v/>
      </c>
      <c r="K426" s="16" t="str">
        <f aca="false">IFERROR(E426/G426,"")</f>
        <v/>
      </c>
      <c r="L426" s="16" t="str">
        <f aca="false">IFERROR(E426/H426,"")</f>
        <v/>
      </c>
      <c r="M426" s="16" t="str">
        <f aca="false">IFERROR(I426/E426,"")</f>
        <v/>
      </c>
      <c r="N426" s="16" t="str">
        <f aca="false">IF(A426="","",A426-WEEKDAY(A426,3))</f>
        <v/>
      </c>
    </row>
    <row r="427" customFormat="false" ht="1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 t="str">
        <f aca="false">IFERROR(G427/F427,"")</f>
        <v/>
      </c>
      <c r="K427" s="16" t="str">
        <f aca="false">IFERROR(E427/G427,"")</f>
        <v/>
      </c>
      <c r="L427" s="16" t="str">
        <f aca="false">IFERROR(E427/H427,"")</f>
        <v/>
      </c>
      <c r="M427" s="16" t="str">
        <f aca="false">IFERROR(I427/E427,"")</f>
        <v/>
      </c>
      <c r="N427" s="16" t="str">
        <f aca="false">IF(A427="","",A427-WEEKDAY(A427,3))</f>
        <v/>
      </c>
    </row>
    <row r="428" customFormat="false" ht="1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 t="str">
        <f aca="false">IFERROR(G428/F428,"")</f>
        <v/>
      </c>
      <c r="K428" s="16" t="str">
        <f aca="false">IFERROR(E428/G428,"")</f>
        <v/>
      </c>
      <c r="L428" s="16" t="str">
        <f aca="false">IFERROR(E428/H428,"")</f>
        <v/>
      </c>
      <c r="M428" s="16" t="str">
        <f aca="false">IFERROR(I428/E428,"")</f>
        <v/>
      </c>
      <c r="N428" s="16" t="str">
        <f aca="false">IF(A428="","",A428-WEEKDAY(A428,3))</f>
        <v/>
      </c>
    </row>
    <row r="429" customFormat="false" ht="1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 t="str">
        <f aca="false">IFERROR(G429/F429,"")</f>
        <v/>
      </c>
      <c r="K429" s="16" t="str">
        <f aca="false">IFERROR(E429/G429,"")</f>
        <v/>
      </c>
      <c r="L429" s="16" t="str">
        <f aca="false">IFERROR(E429/H429,"")</f>
        <v/>
      </c>
      <c r="M429" s="16" t="str">
        <f aca="false">IFERROR(I429/E429,"")</f>
        <v/>
      </c>
      <c r="N429" s="16" t="str">
        <f aca="false">IF(A429="","",A429-WEEKDAY(A429,3))</f>
        <v/>
      </c>
    </row>
    <row r="430" customFormat="false" ht="1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 t="str">
        <f aca="false">IFERROR(G430/F430,"")</f>
        <v/>
      </c>
      <c r="K430" s="16" t="str">
        <f aca="false">IFERROR(E430/G430,"")</f>
        <v/>
      </c>
      <c r="L430" s="16" t="str">
        <f aca="false">IFERROR(E430/H430,"")</f>
        <v/>
      </c>
      <c r="M430" s="16" t="str">
        <f aca="false">IFERROR(I430/E430,"")</f>
        <v/>
      </c>
      <c r="N430" s="16" t="str">
        <f aca="false">IF(A430="","",A430-WEEKDAY(A430,3))</f>
        <v/>
      </c>
    </row>
    <row r="431" customFormat="false" ht="1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 t="str">
        <f aca="false">IFERROR(G431/F431,"")</f>
        <v/>
      </c>
      <c r="K431" s="16" t="str">
        <f aca="false">IFERROR(E431/G431,"")</f>
        <v/>
      </c>
      <c r="L431" s="16" t="str">
        <f aca="false">IFERROR(E431/H431,"")</f>
        <v/>
      </c>
      <c r="M431" s="16" t="str">
        <f aca="false">IFERROR(I431/E431,"")</f>
        <v/>
      </c>
      <c r="N431" s="16" t="str">
        <f aca="false">IF(A431="","",A431-WEEKDAY(A431,3))</f>
        <v/>
      </c>
    </row>
    <row r="432" customFormat="false" ht="1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 t="str">
        <f aca="false">IFERROR(G432/F432,"")</f>
        <v/>
      </c>
      <c r="K432" s="16" t="str">
        <f aca="false">IFERROR(E432/G432,"")</f>
        <v/>
      </c>
      <c r="L432" s="16" t="str">
        <f aca="false">IFERROR(E432/H432,"")</f>
        <v/>
      </c>
      <c r="M432" s="16" t="str">
        <f aca="false">IFERROR(I432/E432,"")</f>
        <v/>
      </c>
      <c r="N432" s="16" t="str">
        <f aca="false">IF(A432="","",A432-WEEKDAY(A432,3))</f>
        <v/>
      </c>
    </row>
    <row r="433" customFormat="false" ht="1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 t="str">
        <f aca="false">IFERROR(G433/F433,"")</f>
        <v/>
      </c>
      <c r="K433" s="16" t="str">
        <f aca="false">IFERROR(E433/G433,"")</f>
        <v/>
      </c>
      <c r="L433" s="16" t="str">
        <f aca="false">IFERROR(E433/H433,"")</f>
        <v/>
      </c>
      <c r="M433" s="16" t="str">
        <f aca="false">IFERROR(I433/E433,"")</f>
        <v/>
      </c>
      <c r="N433" s="16" t="str">
        <f aca="false">IF(A433="","",A433-WEEKDAY(A433,3))</f>
        <v/>
      </c>
    </row>
    <row r="434" customFormat="false" ht="1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 t="str">
        <f aca="false">IFERROR(G434/F434,"")</f>
        <v/>
      </c>
      <c r="K434" s="16" t="str">
        <f aca="false">IFERROR(E434/G434,"")</f>
        <v/>
      </c>
      <c r="L434" s="16" t="str">
        <f aca="false">IFERROR(E434/H434,"")</f>
        <v/>
      </c>
      <c r="M434" s="16" t="str">
        <f aca="false">IFERROR(I434/E434,"")</f>
        <v/>
      </c>
      <c r="N434" s="16" t="str">
        <f aca="false">IF(A434="","",A434-WEEKDAY(A434,3))</f>
        <v/>
      </c>
    </row>
    <row r="435" customFormat="false" ht="1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 t="str">
        <f aca="false">IFERROR(G435/F435,"")</f>
        <v/>
      </c>
      <c r="K435" s="16" t="str">
        <f aca="false">IFERROR(E435/G435,"")</f>
        <v/>
      </c>
      <c r="L435" s="16" t="str">
        <f aca="false">IFERROR(E435/H435,"")</f>
        <v/>
      </c>
      <c r="M435" s="16" t="str">
        <f aca="false">IFERROR(I435/E435,"")</f>
        <v/>
      </c>
      <c r="N435" s="16" t="str">
        <f aca="false">IF(A435="","",A435-WEEKDAY(A435,3))</f>
        <v/>
      </c>
    </row>
    <row r="436" customFormat="false" ht="1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 t="str">
        <f aca="false">IFERROR(G436/F436,"")</f>
        <v/>
      </c>
      <c r="K436" s="16" t="str">
        <f aca="false">IFERROR(E436/G436,"")</f>
        <v/>
      </c>
      <c r="L436" s="16" t="str">
        <f aca="false">IFERROR(E436/H436,"")</f>
        <v/>
      </c>
      <c r="M436" s="16" t="str">
        <f aca="false">IFERROR(I436/E436,"")</f>
        <v/>
      </c>
      <c r="N436" s="16" t="str">
        <f aca="false">IF(A436="","",A436-WEEKDAY(A436,3))</f>
        <v/>
      </c>
    </row>
    <row r="437" customFormat="false" ht="1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 t="str">
        <f aca="false">IFERROR(G437/F437,"")</f>
        <v/>
      </c>
      <c r="K437" s="16" t="str">
        <f aca="false">IFERROR(E437/G437,"")</f>
        <v/>
      </c>
      <c r="L437" s="16" t="str">
        <f aca="false">IFERROR(E437/H437,"")</f>
        <v/>
      </c>
      <c r="M437" s="16" t="str">
        <f aca="false">IFERROR(I437/E437,"")</f>
        <v/>
      </c>
      <c r="N437" s="16" t="str">
        <f aca="false">IF(A437="","",A437-WEEKDAY(A437,3))</f>
        <v/>
      </c>
    </row>
    <row r="438" customFormat="false" ht="1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 t="str">
        <f aca="false">IFERROR(G438/F438,"")</f>
        <v/>
      </c>
      <c r="K438" s="16" t="str">
        <f aca="false">IFERROR(E438/G438,"")</f>
        <v/>
      </c>
      <c r="L438" s="16" t="str">
        <f aca="false">IFERROR(E438/H438,"")</f>
        <v/>
      </c>
      <c r="M438" s="16" t="str">
        <f aca="false">IFERROR(I438/E438,"")</f>
        <v/>
      </c>
      <c r="N438" s="16" t="str">
        <f aca="false">IF(A438="","",A438-WEEKDAY(A438,3))</f>
        <v/>
      </c>
    </row>
    <row r="439" customFormat="false" ht="1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 t="str">
        <f aca="false">IFERROR(G439/F439,"")</f>
        <v/>
      </c>
      <c r="K439" s="16" t="str">
        <f aca="false">IFERROR(E439/G439,"")</f>
        <v/>
      </c>
      <c r="L439" s="16" t="str">
        <f aca="false">IFERROR(E439/H439,"")</f>
        <v/>
      </c>
      <c r="M439" s="16" t="str">
        <f aca="false">IFERROR(I439/E439,"")</f>
        <v/>
      </c>
      <c r="N439" s="16" t="str">
        <f aca="false">IF(A439="","",A439-WEEKDAY(A439,3))</f>
        <v/>
      </c>
    </row>
    <row r="440" customFormat="false" ht="1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 t="str">
        <f aca="false">IFERROR(G440/F440,"")</f>
        <v/>
      </c>
      <c r="K440" s="16" t="str">
        <f aca="false">IFERROR(E440/G440,"")</f>
        <v/>
      </c>
      <c r="L440" s="16" t="str">
        <f aca="false">IFERROR(E440/H440,"")</f>
        <v/>
      </c>
      <c r="M440" s="16" t="str">
        <f aca="false">IFERROR(I440/E440,"")</f>
        <v/>
      </c>
      <c r="N440" s="16" t="str">
        <f aca="false">IF(A440="","",A440-WEEKDAY(A440,3))</f>
        <v/>
      </c>
    </row>
    <row r="441" customFormat="false" ht="1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 t="str">
        <f aca="false">IFERROR(G441/F441,"")</f>
        <v/>
      </c>
      <c r="K441" s="16" t="str">
        <f aca="false">IFERROR(E441/G441,"")</f>
        <v/>
      </c>
      <c r="L441" s="16" t="str">
        <f aca="false">IFERROR(E441/H441,"")</f>
        <v/>
      </c>
      <c r="M441" s="16" t="str">
        <f aca="false">IFERROR(I441/E441,"")</f>
        <v/>
      </c>
      <c r="N441" s="16" t="str">
        <f aca="false">IF(A441="","",A441-WEEKDAY(A441,3))</f>
        <v/>
      </c>
    </row>
    <row r="442" customFormat="false" ht="1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 t="str">
        <f aca="false">IFERROR(G442/F442,"")</f>
        <v/>
      </c>
      <c r="K442" s="16" t="str">
        <f aca="false">IFERROR(E442/G442,"")</f>
        <v/>
      </c>
      <c r="L442" s="16" t="str">
        <f aca="false">IFERROR(E442/H442,"")</f>
        <v/>
      </c>
      <c r="M442" s="16" t="str">
        <f aca="false">IFERROR(I442/E442,"")</f>
        <v/>
      </c>
      <c r="N442" s="16" t="str">
        <f aca="false">IF(A442="","",A442-WEEKDAY(A442,3))</f>
        <v/>
      </c>
    </row>
    <row r="443" customFormat="false" ht="1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 t="str">
        <f aca="false">IFERROR(G443/F443,"")</f>
        <v/>
      </c>
      <c r="K443" s="16" t="str">
        <f aca="false">IFERROR(E443/G443,"")</f>
        <v/>
      </c>
      <c r="L443" s="16" t="str">
        <f aca="false">IFERROR(E443/H443,"")</f>
        <v/>
      </c>
      <c r="M443" s="16" t="str">
        <f aca="false">IFERROR(I443/E443,"")</f>
        <v/>
      </c>
      <c r="N443" s="16" t="str">
        <f aca="false">IF(A443="","",A443-WEEKDAY(A443,3))</f>
        <v/>
      </c>
    </row>
    <row r="444" customFormat="false" ht="1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 t="str">
        <f aca="false">IFERROR(G444/F444,"")</f>
        <v/>
      </c>
      <c r="K444" s="16" t="str">
        <f aca="false">IFERROR(E444/G444,"")</f>
        <v/>
      </c>
      <c r="L444" s="16" t="str">
        <f aca="false">IFERROR(E444/H444,"")</f>
        <v/>
      </c>
      <c r="M444" s="16" t="str">
        <f aca="false">IFERROR(I444/E444,"")</f>
        <v/>
      </c>
      <c r="N444" s="16" t="str">
        <f aca="false">IF(A444="","",A444-WEEKDAY(A444,3))</f>
        <v/>
      </c>
    </row>
    <row r="445" customFormat="false" ht="1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 t="str">
        <f aca="false">IFERROR(G445/F445,"")</f>
        <v/>
      </c>
      <c r="K445" s="16" t="str">
        <f aca="false">IFERROR(E445/G445,"")</f>
        <v/>
      </c>
      <c r="L445" s="16" t="str">
        <f aca="false">IFERROR(E445/H445,"")</f>
        <v/>
      </c>
      <c r="M445" s="16" t="str">
        <f aca="false">IFERROR(I445/E445,"")</f>
        <v/>
      </c>
      <c r="N445" s="16" t="str">
        <f aca="false">IF(A445="","",A445-WEEKDAY(A445,3))</f>
        <v/>
      </c>
    </row>
    <row r="446" customFormat="false" ht="1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 t="str">
        <f aca="false">IFERROR(G446/F446,"")</f>
        <v/>
      </c>
      <c r="K446" s="16" t="str">
        <f aca="false">IFERROR(E446/G446,"")</f>
        <v/>
      </c>
      <c r="L446" s="16" t="str">
        <f aca="false">IFERROR(E446/H446,"")</f>
        <v/>
      </c>
      <c r="M446" s="16" t="str">
        <f aca="false">IFERROR(I446/E446,"")</f>
        <v/>
      </c>
      <c r="N446" s="16" t="str">
        <f aca="false">IF(A446="","",A446-WEEKDAY(A446,3))</f>
        <v/>
      </c>
    </row>
    <row r="447" customFormat="false" ht="1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 t="str">
        <f aca="false">IFERROR(G447/F447,"")</f>
        <v/>
      </c>
      <c r="K447" s="16" t="str">
        <f aca="false">IFERROR(E447/G447,"")</f>
        <v/>
      </c>
      <c r="L447" s="16" t="str">
        <f aca="false">IFERROR(E447/H447,"")</f>
        <v/>
      </c>
      <c r="M447" s="16" t="str">
        <f aca="false">IFERROR(I447/E447,"")</f>
        <v/>
      </c>
      <c r="N447" s="16" t="str">
        <f aca="false">IF(A447="","",A447-WEEKDAY(A447,3))</f>
        <v/>
      </c>
    </row>
    <row r="448" customFormat="false" ht="1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 t="str">
        <f aca="false">IFERROR(G448/F448,"")</f>
        <v/>
      </c>
      <c r="K448" s="16" t="str">
        <f aca="false">IFERROR(E448/G448,"")</f>
        <v/>
      </c>
      <c r="L448" s="16" t="str">
        <f aca="false">IFERROR(E448/H448,"")</f>
        <v/>
      </c>
      <c r="M448" s="16" t="str">
        <f aca="false">IFERROR(I448/E448,"")</f>
        <v/>
      </c>
      <c r="N448" s="16" t="str">
        <f aca="false">IF(A448="","",A448-WEEKDAY(A448,3))</f>
        <v/>
      </c>
    </row>
    <row r="449" customFormat="false" ht="1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 t="str">
        <f aca="false">IFERROR(G449/F449,"")</f>
        <v/>
      </c>
      <c r="K449" s="16" t="str">
        <f aca="false">IFERROR(E449/G449,"")</f>
        <v/>
      </c>
      <c r="L449" s="16" t="str">
        <f aca="false">IFERROR(E449/H449,"")</f>
        <v/>
      </c>
      <c r="M449" s="16" t="str">
        <f aca="false">IFERROR(I449/E449,"")</f>
        <v/>
      </c>
      <c r="N449" s="16" t="str">
        <f aca="false">IF(A449="","",A449-WEEKDAY(A449,3))</f>
        <v/>
      </c>
    </row>
    <row r="450" customFormat="false" ht="1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 t="str">
        <f aca="false">IFERROR(G450/F450,"")</f>
        <v/>
      </c>
      <c r="K450" s="16" t="str">
        <f aca="false">IFERROR(E450/G450,"")</f>
        <v/>
      </c>
      <c r="L450" s="16" t="str">
        <f aca="false">IFERROR(E450/H450,"")</f>
        <v/>
      </c>
      <c r="M450" s="16" t="str">
        <f aca="false">IFERROR(I450/E450,"")</f>
        <v/>
      </c>
      <c r="N450" s="16" t="str">
        <f aca="false">IF(A450="","",A450-WEEKDAY(A450,3))</f>
        <v/>
      </c>
    </row>
    <row r="451" customFormat="false" ht="1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 t="str">
        <f aca="false">IFERROR(G451/F451,"")</f>
        <v/>
      </c>
      <c r="K451" s="16" t="str">
        <f aca="false">IFERROR(E451/G451,"")</f>
        <v/>
      </c>
      <c r="L451" s="16" t="str">
        <f aca="false">IFERROR(E451/H451,"")</f>
        <v/>
      </c>
      <c r="M451" s="16" t="str">
        <f aca="false">IFERROR(I451/E451,"")</f>
        <v/>
      </c>
      <c r="N451" s="16" t="str">
        <f aca="false">IF(A451="","",A451-WEEKDAY(A451,3))</f>
        <v/>
      </c>
    </row>
    <row r="452" customFormat="false" ht="1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 t="str">
        <f aca="false">IFERROR(G452/F452,"")</f>
        <v/>
      </c>
      <c r="K452" s="16" t="str">
        <f aca="false">IFERROR(E452/G452,"")</f>
        <v/>
      </c>
      <c r="L452" s="16" t="str">
        <f aca="false">IFERROR(E452/H452,"")</f>
        <v/>
      </c>
      <c r="M452" s="16" t="str">
        <f aca="false">IFERROR(I452/E452,"")</f>
        <v/>
      </c>
      <c r="N452" s="16" t="str">
        <f aca="false">IF(A452="","",A452-WEEKDAY(A452,3))</f>
        <v/>
      </c>
    </row>
    <row r="453" customFormat="false" ht="1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 t="str">
        <f aca="false">IFERROR(G453/F453,"")</f>
        <v/>
      </c>
      <c r="K453" s="16" t="str">
        <f aca="false">IFERROR(E453/G453,"")</f>
        <v/>
      </c>
      <c r="L453" s="16" t="str">
        <f aca="false">IFERROR(E453/H453,"")</f>
        <v/>
      </c>
      <c r="M453" s="16" t="str">
        <f aca="false">IFERROR(I453/E453,"")</f>
        <v/>
      </c>
      <c r="N453" s="16" t="str">
        <f aca="false">IF(A453="","",A453-WEEKDAY(A453,3))</f>
        <v/>
      </c>
    </row>
    <row r="454" customFormat="false" ht="1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 t="str">
        <f aca="false">IFERROR(G454/F454,"")</f>
        <v/>
      </c>
      <c r="K454" s="16" t="str">
        <f aca="false">IFERROR(E454/G454,"")</f>
        <v/>
      </c>
      <c r="L454" s="16" t="str">
        <f aca="false">IFERROR(E454/H454,"")</f>
        <v/>
      </c>
      <c r="M454" s="16" t="str">
        <f aca="false">IFERROR(I454/E454,"")</f>
        <v/>
      </c>
      <c r="N454" s="16" t="str">
        <f aca="false">IF(A454="","",A454-WEEKDAY(A454,3))</f>
        <v/>
      </c>
    </row>
    <row r="455" customFormat="false" ht="1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 t="str">
        <f aca="false">IFERROR(G455/F455,"")</f>
        <v/>
      </c>
      <c r="K455" s="16" t="str">
        <f aca="false">IFERROR(E455/G455,"")</f>
        <v/>
      </c>
      <c r="L455" s="16" t="str">
        <f aca="false">IFERROR(E455/H455,"")</f>
        <v/>
      </c>
      <c r="M455" s="16" t="str">
        <f aca="false">IFERROR(I455/E455,"")</f>
        <v/>
      </c>
      <c r="N455" s="16" t="str">
        <f aca="false">IF(A455="","",A455-WEEKDAY(A455,3))</f>
        <v/>
      </c>
    </row>
    <row r="456" customFormat="false" ht="1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 t="str">
        <f aca="false">IFERROR(G456/F456,"")</f>
        <v/>
      </c>
      <c r="K456" s="16" t="str">
        <f aca="false">IFERROR(E456/G456,"")</f>
        <v/>
      </c>
      <c r="L456" s="16" t="str">
        <f aca="false">IFERROR(E456/H456,"")</f>
        <v/>
      </c>
      <c r="M456" s="16" t="str">
        <f aca="false">IFERROR(I456/E456,"")</f>
        <v/>
      </c>
      <c r="N456" s="16" t="str">
        <f aca="false">IF(A456="","",A456-WEEKDAY(A456,3))</f>
        <v/>
      </c>
    </row>
    <row r="457" customFormat="false" ht="1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 t="str">
        <f aca="false">IFERROR(G457/F457,"")</f>
        <v/>
      </c>
      <c r="K457" s="16" t="str">
        <f aca="false">IFERROR(E457/G457,"")</f>
        <v/>
      </c>
      <c r="L457" s="16" t="str">
        <f aca="false">IFERROR(E457/H457,"")</f>
        <v/>
      </c>
      <c r="M457" s="16" t="str">
        <f aca="false">IFERROR(I457/E457,"")</f>
        <v/>
      </c>
      <c r="N457" s="16" t="str">
        <f aca="false">IF(A457="","",A457-WEEKDAY(A457,3))</f>
        <v/>
      </c>
    </row>
    <row r="458" customFormat="false" ht="1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 t="str">
        <f aca="false">IFERROR(G458/F458,"")</f>
        <v/>
      </c>
      <c r="K458" s="16" t="str">
        <f aca="false">IFERROR(E458/G458,"")</f>
        <v/>
      </c>
      <c r="L458" s="16" t="str">
        <f aca="false">IFERROR(E458/H458,"")</f>
        <v/>
      </c>
      <c r="M458" s="16" t="str">
        <f aca="false">IFERROR(I458/E458,"")</f>
        <v/>
      </c>
      <c r="N458" s="16" t="str">
        <f aca="false">IF(A458="","",A458-WEEKDAY(A458,3))</f>
        <v/>
      </c>
    </row>
    <row r="459" customFormat="false" ht="1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 t="str">
        <f aca="false">IFERROR(G459/F459,"")</f>
        <v/>
      </c>
      <c r="K459" s="16" t="str">
        <f aca="false">IFERROR(E459/G459,"")</f>
        <v/>
      </c>
      <c r="L459" s="16" t="str">
        <f aca="false">IFERROR(E459/H459,"")</f>
        <v/>
      </c>
      <c r="M459" s="16" t="str">
        <f aca="false">IFERROR(I459/E459,"")</f>
        <v/>
      </c>
      <c r="N459" s="16" t="str">
        <f aca="false">IF(A459="","",A459-WEEKDAY(A459,3))</f>
        <v/>
      </c>
    </row>
    <row r="460" customFormat="false" ht="1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 t="str">
        <f aca="false">IFERROR(G460/F460,"")</f>
        <v/>
      </c>
      <c r="K460" s="16" t="str">
        <f aca="false">IFERROR(E460/G460,"")</f>
        <v/>
      </c>
      <c r="L460" s="16" t="str">
        <f aca="false">IFERROR(E460/H460,"")</f>
        <v/>
      </c>
      <c r="M460" s="16" t="str">
        <f aca="false">IFERROR(I460/E460,"")</f>
        <v/>
      </c>
      <c r="N460" s="16" t="str">
        <f aca="false">IF(A460="","",A460-WEEKDAY(A460,3))</f>
        <v/>
      </c>
    </row>
    <row r="461" customFormat="false" ht="1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 t="str">
        <f aca="false">IFERROR(G461/F461,"")</f>
        <v/>
      </c>
      <c r="K461" s="16" t="str">
        <f aca="false">IFERROR(E461/G461,"")</f>
        <v/>
      </c>
      <c r="L461" s="16" t="str">
        <f aca="false">IFERROR(E461/H461,"")</f>
        <v/>
      </c>
      <c r="M461" s="16" t="str">
        <f aca="false">IFERROR(I461/E461,"")</f>
        <v/>
      </c>
      <c r="N461" s="16" t="str">
        <f aca="false">IF(A461="","",A461-WEEKDAY(A461,3))</f>
        <v/>
      </c>
    </row>
    <row r="462" customFormat="false" ht="1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 t="str">
        <f aca="false">IFERROR(G462/F462,"")</f>
        <v/>
      </c>
      <c r="K462" s="16" t="str">
        <f aca="false">IFERROR(E462/G462,"")</f>
        <v/>
      </c>
      <c r="L462" s="16" t="str">
        <f aca="false">IFERROR(E462/H462,"")</f>
        <v/>
      </c>
      <c r="M462" s="16" t="str">
        <f aca="false">IFERROR(I462/E462,"")</f>
        <v/>
      </c>
      <c r="N462" s="16" t="str">
        <f aca="false">IF(A462="","",A462-WEEKDAY(A462,3))</f>
        <v/>
      </c>
    </row>
    <row r="463" customFormat="false" ht="1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 t="str">
        <f aca="false">IFERROR(G463/F463,"")</f>
        <v/>
      </c>
      <c r="K463" s="16" t="str">
        <f aca="false">IFERROR(E463/G463,"")</f>
        <v/>
      </c>
      <c r="L463" s="16" t="str">
        <f aca="false">IFERROR(E463/H463,"")</f>
        <v/>
      </c>
      <c r="M463" s="16" t="str">
        <f aca="false">IFERROR(I463/E463,"")</f>
        <v/>
      </c>
      <c r="N463" s="16" t="str">
        <f aca="false">IF(A463="","",A463-WEEKDAY(A463,3))</f>
        <v/>
      </c>
    </row>
    <row r="464" customFormat="false" ht="1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 t="str">
        <f aca="false">IFERROR(G464/F464,"")</f>
        <v/>
      </c>
      <c r="K464" s="16" t="str">
        <f aca="false">IFERROR(E464/G464,"")</f>
        <v/>
      </c>
      <c r="L464" s="16" t="str">
        <f aca="false">IFERROR(E464/H464,"")</f>
        <v/>
      </c>
      <c r="M464" s="16" t="str">
        <f aca="false">IFERROR(I464/E464,"")</f>
        <v/>
      </c>
      <c r="N464" s="16" t="str">
        <f aca="false">IF(A464="","",A464-WEEKDAY(A464,3))</f>
        <v/>
      </c>
    </row>
    <row r="465" customFormat="false" ht="1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 t="str">
        <f aca="false">IFERROR(G465/F465,"")</f>
        <v/>
      </c>
      <c r="K465" s="16" t="str">
        <f aca="false">IFERROR(E465/G465,"")</f>
        <v/>
      </c>
      <c r="L465" s="16" t="str">
        <f aca="false">IFERROR(E465/H465,"")</f>
        <v/>
      </c>
      <c r="M465" s="16" t="str">
        <f aca="false">IFERROR(I465/E465,"")</f>
        <v/>
      </c>
      <c r="N465" s="16" t="str">
        <f aca="false">IF(A465="","",A465-WEEKDAY(A465,3))</f>
        <v/>
      </c>
    </row>
    <row r="466" customFormat="false" ht="1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 t="str">
        <f aca="false">IFERROR(G466/F466,"")</f>
        <v/>
      </c>
      <c r="K466" s="16" t="str">
        <f aca="false">IFERROR(E466/G466,"")</f>
        <v/>
      </c>
      <c r="L466" s="16" t="str">
        <f aca="false">IFERROR(E466/H466,"")</f>
        <v/>
      </c>
      <c r="M466" s="16" t="str">
        <f aca="false">IFERROR(I466/E466,"")</f>
        <v/>
      </c>
      <c r="N466" s="16" t="str">
        <f aca="false">IF(A466="","",A466-WEEKDAY(A466,3))</f>
        <v/>
      </c>
    </row>
    <row r="467" customFormat="false" ht="1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 t="str">
        <f aca="false">IFERROR(G467/F467,"")</f>
        <v/>
      </c>
      <c r="K467" s="16" t="str">
        <f aca="false">IFERROR(E467/G467,"")</f>
        <v/>
      </c>
      <c r="L467" s="16" t="str">
        <f aca="false">IFERROR(E467/H467,"")</f>
        <v/>
      </c>
      <c r="M467" s="16" t="str">
        <f aca="false">IFERROR(I467/E467,"")</f>
        <v/>
      </c>
      <c r="N467" s="16" t="str">
        <f aca="false">IF(A467="","",A467-WEEKDAY(A467,3))</f>
        <v/>
      </c>
    </row>
    <row r="468" customFormat="false" ht="1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 t="str">
        <f aca="false">IFERROR(G468/F468,"")</f>
        <v/>
      </c>
      <c r="K468" s="16" t="str">
        <f aca="false">IFERROR(E468/G468,"")</f>
        <v/>
      </c>
      <c r="L468" s="16" t="str">
        <f aca="false">IFERROR(E468/H468,"")</f>
        <v/>
      </c>
      <c r="M468" s="16" t="str">
        <f aca="false">IFERROR(I468/E468,"")</f>
        <v/>
      </c>
      <c r="N468" s="16" t="str">
        <f aca="false">IF(A468="","",A468-WEEKDAY(A468,3))</f>
        <v/>
      </c>
    </row>
    <row r="469" customFormat="false" ht="1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 t="str">
        <f aca="false">IFERROR(G469/F469,"")</f>
        <v/>
      </c>
      <c r="K469" s="16" t="str">
        <f aca="false">IFERROR(E469/G469,"")</f>
        <v/>
      </c>
      <c r="L469" s="16" t="str">
        <f aca="false">IFERROR(E469/H469,"")</f>
        <v/>
      </c>
      <c r="M469" s="16" t="str">
        <f aca="false">IFERROR(I469/E469,"")</f>
        <v/>
      </c>
      <c r="N469" s="16" t="str">
        <f aca="false">IF(A469="","",A469-WEEKDAY(A469,3))</f>
        <v/>
      </c>
    </row>
    <row r="470" customFormat="false" ht="1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 t="str">
        <f aca="false">IFERROR(G470/F470,"")</f>
        <v/>
      </c>
      <c r="K470" s="16" t="str">
        <f aca="false">IFERROR(E470/G470,"")</f>
        <v/>
      </c>
      <c r="L470" s="16" t="str">
        <f aca="false">IFERROR(E470/H470,"")</f>
        <v/>
      </c>
      <c r="M470" s="16" t="str">
        <f aca="false">IFERROR(I470/E470,"")</f>
        <v/>
      </c>
      <c r="N470" s="16" t="str">
        <f aca="false">IF(A470="","",A470-WEEKDAY(A470,3))</f>
        <v/>
      </c>
    </row>
    <row r="471" customFormat="false" ht="1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 t="str">
        <f aca="false">IFERROR(G471/F471,"")</f>
        <v/>
      </c>
      <c r="K471" s="16" t="str">
        <f aca="false">IFERROR(E471/G471,"")</f>
        <v/>
      </c>
      <c r="L471" s="16" t="str">
        <f aca="false">IFERROR(E471/H471,"")</f>
        <v/>
      </c>
      <c r="M471" s="16" t="str">
        <f aca="false">IFERROR(I471/E471,"")</f>
        <v/>
      </c>
      <c r="N471" s="16" t="str">
        <f aca="false">IF(A471="","",A471-WEEKDAY(A471,3))</f>
        <v/>
      </c>
    </row>
    <row r="472" customFormat="false" ht="1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 t="str">
        <f aca="false">IFERROR(G472/F472,"")</f>
        <v/>
      </c>
      <c r="K472" s="16" t="str">
        <f aca="false">IFERROR(E472/G472,"")</f>
        <v/>
      </c>
      <c r="L472" s="16" t="str">
        <f aca="false">IFERROR(E472/H472,"")</f>
        <v/>
      </c>
      <c r="M472" s="16" t="str">
        <f aca="false">IFERROR(I472/E472,"")</f>
        <v/>
      </c>
      <c r="N472" s="16" t="str">
        <f aca="false">IF(A472="","",A472-WEEKDAY(A472,3))</f>
        <v/>
      </c>
    </row>
    <row r="473" customFormat="false" ht="1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 t="str">
        <f aca="false">IFERROR(G473/F473,"")</f>
        <v/>
      </c>
      <c r="K473" s="16" t="str">
        <f aca="false">IFERROR(E473/G473,"")</f>
        <v/>
      </c>
      <c r="L473" s="16" t="str">
        <f aca="false">IFERROR(E473/H473,"")</f>
        <v/>
      </c>
      <c r="M473" s="16" t="str">
        <f aca="false">IFERROR(I473/E473,"")</f>
        <v/>
      </c>
      <c r="N473" s="16" t="str">
        <f aca="false">IF(A473="","",A473-WEEKDAY(A473,3))</f>
        <v/>
      </c>
    </row>
    <row r="474" customFormat="false" ht="1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 t="str">
        <f aca="false">IFERROR(G474/F474,"")</f>
        <v/>
      </c>
      <c r="K474" s="16" t="str">
        <f aca="false">IFERROR(E474/G474,"")</f>
        <v/>
      </c>
      <c r="L474" s="16" t="str">
        <f aca="false">IFERROR(E474/H474,"")</f>
        <v/>
      </c>
      <c r="M474" s="16" t="str">
        <f aca="false">IFERROR(I474/E474,"")</f>
        <v/>
      </c>
      <c r="N474" s="16" t="str">
        <f aca="false">IF(A474="","",A474-WEEKDAY(A474,3))</f>
        <v/>
      </c>
    </row>
    <row r="475" customFormat="false" ht="1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 t="str">
        <f aca="false">IFERROR(G475/F475,"")</f>
        <v/>
      </c>
      <c r="K475" s="16" t="str">
        <f aca="false">IFERROR(E475/G475,"")</f>
        <v/>
      </c>
      <c r="L475" s="16" t="str">
        <f aca="false">IFERROR(E475/H475,"")</f>
        <v/>
      </c>
      <c r="M475" s="16" t="str">
        <f aca="false">IFERROR(I475/E475,"")</f>
        <v/>
      </c>
      <c r="N475" s="16" t="str">
        <f aca="false">IF(A475="","",A475-WEEKDAY(A475,3))</f>
        <v/>
      </c>
    </row>
    <row r="476" customFormat="false" ht="1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 t="str">
        <f aca="false">IFERROR(G476/F476,"")</f>
        <v/>
      </c>
      <c r="K476" s="16" t="str">
        <f aca="false">IFERROR(E476/G476,"")</f>
        <v/>
      </c>
      <c r="L476" s="16" t="str">
        <f aca="false">IFERROR(E476/H476,"")</f>
        <v/>
      </c>
      <c r="M476" s="16" t="str">
        <f aca="false">IFERROR(I476/E476,"")</f>
        <v/>
      </c>
      <c r="N476" s="16" t="str">
        <f aca="false">IF(A476="","",A476-WEEKDAY(A476,3))</f>
        <v/>
      </c>
    </row>
    <row r="477" customFormat="false" ht="1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 t="str">
        <f aca="false">IFERROR(G477/F477,"")</f>
        <v/>
      </c>
      <c r="K477" s="16" t="str">
        <f aca="false">IFERROR(E477/G477,"")</f>
        <v/>
      </c>
      <c r="L477" s="16" t="str">
        <f aca="false">IFERROR(E477/H477,"")</f>
        <v/>
      </c>
      <c r="M477" s="16" t="str">
        <f aca="false">IFERROR(I477/E477,"")</f>
        <v/>
      </c>
      <c r="N477" s="16" t="str">
        <f aca="false">IF(A477="","",A477-WEEKDAY(A477,3))</f>
        <v/>
      </c>
    </row>
    <row r="478" customFormat="false" ht="1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 t="str">
        <f aca="false">IFERROR(G478/F478,"")</f>
        <v/>
      </c>
      <c r="K478" s="16" t="str">
        <f aca="false">IFERROR(E478/G478,"")</f>
        <v/>
      </c>
      <c r="L478" s="16" t="str">
        <f aca="false">IFERROR(E478/H478,"")</f>
        <v/>
      </c>
      <c r="M478" s="16" t="str">
        <f aca="false">IFERROR(I478/E478,"")</f>
        <v/>
      </c>
      <c r="N478" s="16" t="str">
        <f aca="false">IF(A478="","",A478-WEEKDAY(A478,3))</f>
        <v/>
      </c>
    </row>
    <row r="479" customFormat="false" ht="1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 t="str">
        <f aca="false">IFERROR(G479/F479,"")</f>
        <v/>
      </c>
      <c r="K479" s="16" t="str">
        <f aca="false">IFERROR(E479/G479,"")</f>
        <v/>
      </c>
      <c r="L479" s="16" t="str">
        <f aca="false">IFERROR(E479/H479,"")</f>
        <v/>
      </c>
      <c r="M479" s="16" t="str">
        <f aca="false">IFERROR(I479/E479,"")</f>
        <v/>
      </c>
      <c r="N479" s="16" t="str">
        <f aca="false">IF(A479="","",A479-WEEKDAY(A479,3))</f>
        <v/>
      </c>
    </row>
    <row r="480" customFormat="false" ht="1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 t="str">
        <f aca="false">IFERROR(G480/F480,"")</f>
        <v/>
      </c>
      <c r="K480" s="16" t="str">
        <f aca="false">IFERROR(E480/G480,"")</f>
        <v/>
      </c>
      <c r="L480" s="16" t="str">
        <f aca="false">IFERROR(E480/H480,"")</f>
        <v/>
      </c>
      <c r="M480" s="16" t="str">
        <f aca="false">IFERROR(I480/E480,"")</f>
        <v/>
      </c>
      <c r="N480" s="16" t="str">
        <f aca="false">IF(A480="","",A480-WEEKDAY(A480,3))</f>
        <v/>
      </c>
    </row>
    <row r="481" customFormat="false" ht="1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 t="str">
        <f aca="false">IFERROR(G481/F481,"")</f>
        <v/>
      </c>
      <c r="K481" s="16" t="str">
        <f aca="false">IFERROR(E481/G481,"")</f>
        <v/>
      </c>
      <c r="L481" s="16" t="str">
        <f aca="false">IFERROR(E481/H481,"")</f>
        <v/>
      </c>
      <c r="M481" s="16" t="str">
        <f aca="false">IFERROR(I481/E481,"")</f>
        <v/>
      </c>
      <c r="N481" s="16" t="str">
        <f aca="false">IF(A481="","",A481-WEEKDAY(A481,3))</f>
        <v/>
      </c>
    </row>
    <row r="482" customFormat="false" ht="1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 t="str">
        <f aca="false">IFERROR(G482/F482,"")</f>
        <v/>
      </c>
      <c r="K482" s="16" t="str">
        <f aca="false">IFERROR(E482/G482,"")</f>
        <v/>
      </c>
      <c r="L482" s="16" t="str">
        <f aca="false">IFERROR(E482/H482,"")</f>
        <v/>
      </c>
      <c r="M482" s="16" t="str">
        <f aca="false">IFERROR(I482/E482,"")</f>
        <v/>
      </c>
      <c r="N482" s="16" t="str">
        <f aca="false">IF(A482="","",A482-WEEKDAY(A482,3))</f>
        <v/>
      </c>
    </row>
    <row r="483" customFormat="false" ht="1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 t="str">
        <f aca="false">IFERROR(G483/F483,"")</f>
        <v/>
      </c>
      <c r="K483" s="16" t="str">
        <f aca="false">IFERROR(E483/G483,"")</f>
        <v/>
      </c>
      <c r="L483" s="16" t="str">
        <f aca="false">IFERROR(E483/H483,"")</f>
        <v/>
      </c>
      <c r="M483" s="16" t="str">
        <f aca="false">IFERROR(I483/E483,"")</f>
        <v/>
      </c>
      <c r="N483" s="16" t="str">
        <f aca="false">IF(A483="","",A483-WEEKDAY(A483,3))</f>
        <v/>
      </c>
    </row>
    <row r="484" customFormat="false" ht="1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 t="str">
        <f aca="false">IFERROR(G484/F484,"")</f>
        <v/>
      </c>
      <c r="K484" s="16" t="str">
        <f aca="false">IFERROR(E484/G484,"")</f>
        <v/>
      </c>
      <c r="L484" s="16" t="str">
        <f aca="false">IFERROR(E484/H484,"")</f>
        <v/>
      </c>
      <c r="M484" s="16" t="str">
        <f aca="false">IFERROR(I484/E484,"")</f>
        <v/>
      </c>
      <c r="N484" s="16" t="str">
        <f aca="false">IF(A484="","",A484-WEEKDAY(A484,3))</f>
        <v/>
      </c>
    </row>
    <row r="485" customFormat="false" ht="1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 t="str">
        <f aca="false">IFERROR(G485/F485,"")</f>
        <v/>
      </c>
      <c r="K485" s="16" t="str">
        <f aca="false">IFERROR(E485/G485,"")</f>
        <v/>
      </c>
      <c r="L485" s="16" t="str">
        <f aca="false">IFERROR(E485/H485,"")</f>
        <v/>
      </c>
      <c r="M485" s="16" t="str">
        <f aca="false">IFERROR(I485/E485,"")</f>
        <v/>
      </c>
      <c r="N485" s="16" t="str">
        <f aca="false">IF(A485="","",A485-WEEKDAY(A485,3))</f>
        <v/>
      </c>
    </row>
    <row r="486" customFormat="false" ht="1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 t="str">
        <f aca="false">IFERROR(G486/F486,"")</f>
        <v/>
      </c>
      <c r="K486" s="16" t="str">
        <f aca="false">IFERROR(E486/G486,"")</f>
        <v/>
      </c>
      <c r="L486" s="16" t="str">
        <f aca="false">IFERROR(E486/H486,"")</f>
        <v/>
      </c>
      <c r="M486" s="16" t="str">
        <f aca="false">IFERROR(I486/E486,"")</f>
        <v/>
      </c>
      <c r="N486" s="16" t="str">
        <f aca="false">IF(A486="","",A486-WEEKDAY(A486,3))</f>
        <v/>
      </c>
    </row>
    <row r="487" customFormat="false" ht="1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 t="str">
        <f aca="false">IFERROR(G487/F487,"")</f>
        <v/>
      </c>
      <c r="K487" s="16" t="str">
        <f aca="false">IFERROR(E487/G487,"")</f>
        <v/>
      </c>
      <c r="L487" s="16" t="str">
        <f aca="false">IFERROR(E487/H487,"")</f>
        <v/>
      </c>
      <c r="M487" s="16" t="str">
        <f aca="false">IFERROR(I487/E487,"")</f>
        <v/>
      </c>
      <c r="N487" s="16" t="str">
        <f aca="false">IF(A487="","",A487-WEEKDAY(A487,3))</f>
        <v/>
      </c>
    </row>
    <row r="488" customFormat="false" ht="1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 t="str">
        <f aca="false">IFERROR(G488/F488,"")</f>
        <v/>
      </c>
      <c r="K488" s="16" t="str">
        <f aca="false">IFERROR(E488/G488,"")</f>
        <v/>
      </c>
      <c r="L488" s="16" t="str">
        <f aca="false">IFERROR(E488/H488,"")</f>
        <v/>
      </c>
      <c r="M488" s="16" t="str">
        <f aca="false">IFERROR(I488/E488,"")</f>
        <v/>
      </c>
      <c r="N488" s="16" t="str">
        <f aca="false">IF(A488="","",A488-WEEKDAY(A488,3))</f>
        <v/>
      </c>
    </row>
    <row r="489" customFormat="false" ht="1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 t="str">
        <f aca="false">IFERROR(G489/F489,"")</f>
        <v/>
      </c>
      <c r="K489" s="16" t="str">
        <f aca="false">IFERROR(E489/G489,"")</f>
        <v/>
      </c>
      <c r="L489" s="16" t="str">
        <f aca="false">IFERROR(E489/H489,"")</f>
        <v/>
      </c>
      <c r="M489" s="16" t="str">
        <f aca="false">IFERROR(I489/E489,"")</f>
        <v/>
      </c>
      <c r="N489" s="16" t="str">
        <f aca="false">IF(A489="","",A489-WEEKDAY(A489,3))</f>
        <v/>
      </c>
    </row>
    <row r="490" customFormat="false" ht="1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 t="str">
        <f aca="false">IFERROR(G490/F490,"")</f>
        <v/>
      </c>
      <c r="K490" s="16" t="str">
        <f aca="false">IFERROR(E490/G490,"")</f>
        <v/>
      </c>
      <c r="L490" s="16" t="str">
        <f aca="false">IFERROR(E490/H490,"")</f>
        <v/>
      </c>
      <c r="M490" s="16" t="str">
        <f aca="false">IFERROR(I490/E490,"")</f>
        <v/>
      </c>
      <c r="N490" s="16" t="str">
        <f aca="false">IF(A490="","",A490-WEEKDAY(A490,3))</f>
        <v/>
      </c>
    </row>
    <row r="491" customFormat="false" ht="1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 t="str">
        <f aca="false">IFERROR(G491/F491,"")</f>
        <v/>
      </c>
      <c r="K491" s="16" t="str">
        <f aca="false">IFERROR(E491/G491,"")</f>
        <v/>
      </c>
      <c r="L491" s="16" t="str">
        <f aca="false">IFERROR(E491/H491,"")</f>
        <v/>
      </c>
      <c r="M491" s="16" t="str">
        <f aca="false">IFERROR(I491/E491,"")</f>
        <v/>
      </c>
      <c r="N491" s="16" t="str">
        <f aca="false">IF(A491="","",A491-WEEKDAY(A491,3))</f>
        <v/>
      </c>
    </row>
    <row r="492" customFormat="false" ht="1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 t="str">
        <f aca="false">IFERROR(G492/F492,"")</f>
        <v/>
      </c>
      <c r="K492" s="16" t="str">
        <f aca="false">IFERROR(E492/G492,"")</f>
        <v/>
      </c>
      <c r="L492" s="16" t="str">
        <f aca="false">IFERROR(E492/H492,"")</f>
        <v/>
      </c>
      <c r="M492" s="16" t="str">
        <f aca="false">IFERROR(I492/E492,"")</f>
        <v/>
      </c>
      <c r="N492" s="16" t="str">
        <f aca="false">IF(A492="","",A492-WEEKDAY(A492,3))</f>
        <v/>
      </c>
    </row>
    <row r="493" customFormat="false" ht="1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 t="str">
        <f aca="false">IFERROR(G493/F493,"")</f>
        <v/>
      </c>
      <c r="K493" s="16" t="str">
        <f aca="false">IFERROR(E493/G493,"")</f>
        <v/>
      </c>
      <c r="L493" s="16" t="str">
        <f aca="false">IFERROR(E493/H493,"")</f>
        <v/>
      </c>
      <c r="M493" s="16" t="str">
        <f aca="false">IFERROR(I493/E493,"")</f>
        <v/>
      </c>
      <c r="N493" s="16" t="str">
        <f aca="false">IF(A493="","",A493-WEEKDAY(A493,3))</f>
        <v/>
      </c>
    </row>
    <row r="494" customFormat="false" ht="1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 t="str">
        <f aca="false">IFERROR(G494/F494,"")</f>
        <v/>
      </c>
      <c r="K494" s="16" t="str">
        <f aca="false">IFERROR(E494/G494,"")</f>
        <v/>
      </c>
      <c r="L494" s="16" t="str">
        <f aca="false">IFERROR(E494/H494,"")</f>
        <v/>
      </c>
      <c r="M494" s="16" t="str">
        <f aca="false">IFERROR(I494/E494,"")</f>
        <v/>
      </c>
      <c r="N494" s="16" t="str">
        <f aca="false">IF(A494="","",A494-WEEKDAY(A494,3))</f>
        <v/>
      </c>
    </row>
    <row r="495" customFormat="false" ht="1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 t="str">
        <f aca="false">IFERROR(G495/F495,"")</f>
        <v/>
      </c>
      <c r="K495" s="16" t="str">
        <f aca="false">IFERROR(E495/G495,"")</f>
        <v/>
      </c>
      <c r="L495" s="16" t="str">
        <f aca="false">IFERROR(E495/H495,"")</f>
        <v/>
      </c>
      <c r="M495" s="16" t="str">
        <f aca="false">IFERROR(I495/E495,"")</f>
        <v/>
      </c>
      <c r="N495" s="16" t="str">
        <f aca="false">IF(A495="","",A495-WEEKDAY(A495,3))</f>
        <v/>
      </c>
    </row>
    <row r="496" customFormat="false" ht="1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 t="str">
        <f aca="false">IFERROR(G496/F496,"")</f>
        <v/>
      </c>
      <c r="K496" s="16" t="str">
        <f aca="false">IFERROR(E496/G496,"")</f>
        <v/>
      </c>
      <c r="L496" s="16" t="str">
        <f aca="false">IFERROR(E496/H496,"")</f>
        <v/>
      </c>
      <c r="M496" s="16" t="str">
        <f aca="false">IFERROR(I496/E496,"")</f>
        <v/>
      </c>
      <c r="N496" s="16" t="str">
        <f aca="false">IF(A496="","",A496-WEEKDAY(A496,3))</f>
        <v/>
      </c>
    </row>
    <row r="497" customFormat="false" ht="1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 t="str">
        <f aca="false">IFERROR(G497/F497,"")</f>
        <v/>
      </c>
      <c r="K497" s="16" t="str">
        <f aca="false">IFERROR(E497/G497,"")</f>
        <v/>
      </c>
      <c r="L497" s="16" t="str">
        <f aca="false">IFERROR(E497/H497,"")</f>
        <v/>
      </c>
      <c r="M497" s="16" t="str">
        <f aca="false">IFERROR(I497/E497,"")</f>
        <v/>
      </c>
      <c r="N497" s="16" t="str">
        <f aca="false">IF(A497="","",A497-WEEKDAY(A497,3))</f>
        <v/>
      </c>
    </row>
    <row r="498" customFormat="false" ht="1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 t="str">
        <f aca="false">IFERROR(G498/F498,"")</f>
        <v/>
      </c>
      <c r="K498" s="16" t="str">
        <f aca="false">IFERROR(E498/G498,"")</f>
        <v/>
      </c>
      <c r="L498" s="16" t="str">
        <f aca="false">IFERROR(E498/H498,"")</f>
        <v/>
      </c>
      <c r="M498" s="16" t="str">
        <f aca="false">IFERROR(I498/E498,"")</f>
        <v/>
      </c>
      <c r="N498" s="16" t="str">
        <f aca="false">IF(A498="","",A498-WEEKDAY(A498,3))</f>
        <v/>
      </c>
    </row>
    <row r="499" customFormat="false" ht="1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 t="str">
        <f aca="false">IFERROR(G499/F499,"")</f>
        <v/>
      </c>
      <c r="K499" s="16" t="str">
        <f aca="false">IFERROR(E499/G499,"")</f>
        <v/>
      </c>
      <c r="L499" s="16" t="str">
        <f aca="false">IFERROR(E499/H499,"")</f>
        <v/>
      </c>
      <c r="M499" s="16" t="str">
        <f aca="false">IFERROR(I499/E499,"")</f>
        <v/>
      </c>
      <c r="N499" s="16" t="str">
        <f aca="false">IF(A499="","",A499-WEEKDAY(A499,3))</f>
        <v/>
      </c>
    </row>
    <row r="500" customFormat="false" ht="1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 t="str">
        <f aca="false">IFERROR(G500/F500,"")</f>
        <v/>
      </c>
      <c r="K500" s="16" t="str">
        <f aca="false">IFERROR(E500/G500,"")</f>
        <v/>
      </c>
      <c r="L500" s="16" t="str">
        <f aca="false">IFERROR(E500/H500,"")</f>
        <v/>
      </c>
      <c r="M500" s="16" t="str">
        <f aca="false">IFERROR(I500/E500,"")</f>
        <v/>
      </c>
      <c r="N500" s="16" t="str">
        <f aca="false">IF(A500="","",A500-WEEKDAY(A500,3))</f>
        <v/>
      </c>
    </row>
    <row r="501" customFormat="false" ht="1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 t="str">
        <f aca="false">IFERROR(G501/F501,"")</f>
        <v/>
      </c>
      <c r="K501" s="16" t="str">
        <f aca="false">IFERROR(E501/G501,"")</f>
        <v/>
      </c>
      <c r="L501" s="16" t="str">
        <f aca="false">IFERROR(E501/H501,"")</f>
        <v/>
      </c>
      <c r="M501" s="16" t="str">
        <f aca="false">IFERROR(I501/E501,"")</f>
        <v/>
      </c>
      <c r="N501" s="16" t="str">
        <f aca="false">IF(A501="","",A501-WEEKDAY(A501,3))</f>
        <v/>
      </c>
    </row>
    <row r="502" customFormat="false" ht="1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 t="str">
        <f aca="false">IFERROR(G502/F502,"")</f>
        <v/>
      </c>
      <c r="K502" s="16" t="str">
        <f aca="false">IFERROR(E502/G502,"")</f>
        <v/>
      </c>
      <c r="L502" s="16" t="str">
        <f aca="false">IFERROR(E502/H502,"")</f>
        <v/>
      </c>
      <c r="M502" s="16" t="str">
        <f aca="false">IFERROR(I502/E502,"")</f>
        <v/>
      </c>
      <c r="N502" s="16" t="str">
        <f aca="false">IF(A502="","",A502-WEEKDAY(A502,3))</f>
        <v/>
      </c>
    </row>
    <row r="503" customFormat="false" ht="1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 t="str">
        <f aca="false">IFERROR(G503/F503,"")</f>
        <v/>
      </c>
      <c r="K503" s="16" t="str">
        <f aca="false">IFERROR(E503/G503,"")</f>
        <v/>
      </c>
      <c r="L503" s="16" t="str">
        <f aca="false">IFERROR(E503/H503,"")</f>
        <v/>
      </c>
      <c r="M503" s="16" t="str">
        <f aca="false">IFERROR(I503/E503,"")</f>
        <v/>
      </c>
      <c r="N503" s="16" t="str">
        <f aca="false">IF(A503="","",A503-WEEKDAY(A503,3))</f>
        <v/>
      </c>
    </row>
    <row r="504" customFormat="false" ht="1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 t="str">
        <f aca="false">IFERROR(G504/F504,"")</f>
        <v/>
      </c>
      <c r="K504" s="16" t="str">
        <f aca="false">IFERROR(E504/G504,"")</f>
        <v/>
      </c>
      <c r="L504" s="16" t="str">
        <f aca="false">IFERROR(E504/H504,"")</f>
        <v/>
      </c>
      <c r="M504" s="16" t="str">
        <f aca="false">IFERROR(I504/E504,"")</f>
        <v/>
      </c>
      <c r="N504" s="16" t="str">
        <f aca="false">IF(A504="","",A504-WEEKDAY(A504,3))</f>
        <v/>
      </c>
    </row>
    <row r="505" customFormat="false" ht="1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 t="str">
        <f aca="false">IFERROR(G505/F505,"")</f>
        <v/>
      </c>
      <c r="K505" s="16" t="str">
        <f aca="false">IFERROR(E505/G505,"")</f>
        <v/>
      </c>
      <c r="L505" s="16" t="str">
        <f aca="false">IFERROR(E505/H505,"")</f>
        <v/>
      </c>
      <c r="M505" s="16" t="str">
        <f aca="false">IFERROR(I505/E505,"")</f>
        <v/>
      </c>
      <c r="N505" s="16" t="str">
        <f aca="false">IF(A505="","",A505-WEEKDAY(A505,3))</f>
        <v/>
      </c>
    </row>
    <row r="506" customFormat="false" ht="1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 t="str">
        <f aca="false">IFERROR(G506/F506,"")</f>
        <v/>
      </c>
      <c r="K506" s="16" t="str">
        <f aca="false">IFERROR(E506/G506,"")</f>
        <v/>
      </c>
      <c r="L506" s="16" t="str">
        <f aca="false">IFERROR(E506/H506,"")</f>
        <v/>
      </c>
      <c r="M506" s="16" t="str">
        <f aca="false">IFERROR(I506/E506,"")</f>
        <v/>
      </c>
      <c r="N506" s="16" t="str">
        <f aca="false">IF(A506="","",A506-WEEKDAY(A506,3))</f>
        <v/>
      </c>
    </row>
    <row r="507" customFormat="false" ht="1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 t="str">
        <f aca="false">IFERROR(G507/F507,"")</f>
        <v/>
      </c>
      <c r="K507" s="16" t="str">
        <f aca="false">IFERROR(E507/G507,"")</f>
        <v/>
      </c>
      <c r="L507" s="16" t="str">
        <f aca="false">IFERROR(E507/H507,"")</f>
        <v/>
      </c>
      <c r="M507" s="16" t="str">
        <f aca="false">IFERROR(I507/E507,"")</f>
        <v/>
      </c>
      <c r="N507" s="16" t="str">
        <f aca="false">IF(A507="","",A507-WEEKDAY(A507,3))</f>
        <v/>
      </c>
    </row>
    <row r="508" customFormat="false" ht="1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 t="str">
        <f aca="false">IFERROR(G508/F508,"")</f>
        <v/>
      </c>
      <c r="K508" s="16" t="str">
        <f aca="false">IFERROR(E508/G508,"")</f>
        <v/>
      </c>
      <c r="L508" s="16" t="str">
        <f aca="false">IFERROR(E508/H508,"")</f>
        <v/>
      </c>
      <c r="M508" s="16" t="str">
        <f aca="false">IFERROR(I508/E508,"")</f>
        <v/>
      </c>
      <c r="N508" s="16" t="str">
        <f aca="false">IF(A508="","",A508-WEEKDAY(A508,3))</f>
        <v/>
      </c>
    </row>
    <row r="509" customFormat="false" ht="1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 t="str">
        <f aca="false">IFERROR(G509/F509,"")</f>
        <v/>
      </c>
      <c r="K509" s="16" t="str">
        <f aca="false">IFERROR(E509/G509,"")</f>
        <v/>
      </c>
      <c r="L509" s="16" t="str">
        <f aca="false">IFERROR(E509/H509,"")</f>
        <v/>
      </c>
      <c r="M509" s="16" t="str">
        <f aca="false">IFERROR(I509/E509,"")</f>
        <v/>
      </c>
      <c r="N509" s="16" t="str">
        <f aca="false">IF(A509="","",A509-WEEKDAY(A509,3))</f>
        <v/>
      </c>
    </row>
    <row r="510" customFormat="false" ht="1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 t="str">
        <f aca="false">IFERROR(G510/F510,"")</f>
        <v/>
      </c>
      <c r="K510" s="16" t="str">
        <f aca="false">IFERROR(E510/G510,"")</f>
        <v/>
      </c>
      <c r="L510" s="16" t="str">
        <f aca="false">IFERROR(E510/H510,"")</f>
        <v/>
      </c>
      <c r="M510" s="16" t="str">
        <f aca="false">IFERROR(I510/E510,"")</f>
        <v/>
      </c>
      <c r="N510" s="16" t="str">
        <f aca="false">IF(A510="","",A510-WEEKDAY(A510,3))</f>
        <v/>
      </c>
    </row>
    <row r="511" customFormat="false" ht="1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 t="str">
        <f aca="false">IFERROR(G511/F511,"")</f>
        <v/>
      </c>
      <c r="K511" s="16" t="str">
        <f aca="false">IFERROR(E511/G511,"")</f>
        <v/>
      </c>
      <c r="L511" s="16" t="str">
        <f aca="false">IFERROR(E511/H511,"")</f>
        <v/>
      </c>
      <c r="M511" s="16" t="str">
        <f aca="false">IFERROR(I511/E511,"")</f>
        <v/>
      </c>
      <c r="N511" s="16" t="str">
        <f aca="false">IF(A511="","",A511-WEEKDAY(A511,3))</f>
        <v/>
      </c>
    </row>
    <row r="512" customFormat="false" ht="1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 t="str">
        <f aca="false">IFERROR(G512/F512,"")</f>
        <v/>
      </c>
      <c r="K512" s="16" t="str">
        <f aca="false">IFERROR(E512/G512,"")</f>
        <v/>
      </c>
      <c r="L512" s="16" t="str">
        <f aca="false">IFERROR(E512/H512,"")</f>
        <v/>
      </c>
      <c r="M512" s="16" t="str">
        <f aca="false">IFERROR(I512/E512,"")</f>
        <v/>
      </c>
      <c r="N512" s="16" t="str">
        <f aca="false">IF(A512="","",A512-WEEKDAY(A512,3))</f>
        <v/>
      </c>
    </row>
    <row r="513" customFormat="false" ht="1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 t="str">
        <f aca="false">IFERROR(G513/F513,"")</f>
        <v/>
      </c>
      <c r="K513" s="16" t="str">
        <f aca="false">IFERROR(E513/G513,"")</f>
        <v/>
      </c>
      <c r="L513" s="16" t="str">
        <f aca="false">IFERROR(E513/H513,"")</f>
        <v/>
      </c>
      <c r="M513" s="16" t="str">
        <f aca="false">IFERROR(I513/E513,"")</f>
        <v/>
      </c>
      <c r="N513" s="16" t="str">
        <f aca="false">IF(A513="","",A513-WEEKDAY(A513,3))</f>
        <v/>
      </c>
    </row>
    <row r="514" customFormat="false" ht="1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 t="str">
        <f aca="false">IFERROR(G514/F514,"")</f>
        <v/>
      </c>
      <c r="K514" s="16" t="str">
        <f aca="false">IFERROR(E514/G514,"")</f>
        <v/>
      </c>
      <c r="L514" s="16" t="str">
        <f aca="false">IFERROR(E514/H514,"")</f>
        <v/>
      </c>
      <c r="M514" s="16" t="str">
        <f aca="false">IFERROR(I514/E514,"")</f>
        <v/>
      </c>
      <c r="N514" s="16" t="str">
        <f aca="false">IF(A514="","",A514-WEEKDAY(A514,3))</f>
        <v/>
      </c>
    </row>
    <row r="515" customFormat="false" ht="1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 t="str">
        <f aca="false">IFERROR(G515/F515,"")</f>
        <v/>
      </c>
      <c r="K515" s="16" t="str">
        <f aca="false">IFERROR(E515/G515,"")</f>
        <v/>
      </c>
      <c r="L515" s="16" t="str">
        <f aca="false">IFERROR(E515/H515,"")</f>
        <v/>
      </c>
      <c r="M515" s="16" t="str">
        <f aca="false">IFERROR(I515/E515,"")</f>
        <v/>
      </c>
      <c r="N515" s="16" t="str">
        <f aca="false">IF(A515="","",A515-WEEKDAY(A515,3))</f>
        <v/>
      </c>
    </row>
    <row r="516" customFormat="false" ht="1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 t="str">
        <f aca="false">IFERROR(G516/F516,"")</f>
        <v/>
      </c>
      <c r="K516" s="16" t="str">
        <f aca="false">IFERROR(E516/G516,"")</f>
        <v/>
      </c>
      <c r="L516" s="16" t="str">
        <f aca="false">IFERROR(E516/H516,"")</f>
        <v/>
      </c>
      <c r="M516" s="16" t="str">
        <f aca="false">IFERROR(I516/E516,"")</f>
        <v/>
      </c>
      <c r="N516" s="16" t="str">
        <f aca="false">IF(A516="","",A516-WEEKDAY(A516,3))</f>
        <v/>
      </c>
    </row>
    <row r="517" customFormat="false" ht="1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 t="str">
        <f aca="false">IFERROR(G517/F517,"")</f>
        <v/>
      </c>
      <c r="K517" s="16" t="str">
        <f aca="false">IFERROR(E517/G517,"")</f>
        <v/>
      </c>
      <c r="L517" s="16" t="str">
        <f aca="false">IFERROR(E517/H517,"")</f>
        <v/>
      </c>
      <c r="M517" s="16" t="str">
        <f aca="false">IFERROR(I517/E517,"")</f>
        <v/>
      </c>
      <c r="N517" s="16" t="str">
        <f aca="false">IF(A517="","",A517-WEEKDAY(A517,3))</f>
        <v/>
      </c>
    </row>
    <row r="518" customFormat="false" ht="1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 t="str">
        <f aca="false">IFERROR(G518/F518,"")</f>
        <v/>
      </c>
      <c r="K518" s="16" t="str">
        <f aca="false">IFERROR(E518/G518,"")</f>
        <v/>
      </c>
      <c r="L518" s="16" t="str">
        <f aca="false">IFERROR(E518/H518,"")</f>
        <v/>
      </c>
      <c r="M518" s="16" t="str">
        <f aca="false">IFERROR(I518/E518,"")</f>
        <v/>
      </c>
      <c r="N518" s="16" t="str">
        <f aca="false">IF(A518="","",A518-WEEKDAY(A518,3))</f>
        <v/>
      </c>
    </row>
    <row r="519" customFormat="false" ht="1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 t="str">
        <f aca="false">IFERROR(G519/F519,"")</f>
        <v/>
      </c>
      <c r="K519" s="16" t="str">
        <f aca="false">IFERROR(E519/G519,"")</f>
        <v/>
      </c>
      <c r="L519" s="16" t="str">
        <f aca="false">IFERROR(E519/H519,"")</f>
        <v/>
      </c>
      <c r="M519" s="16" t="str">
        <f aca="false">IFERROR(I519/E519,"")</f>
        <v/>
      </c>
      <c r="N519" s="16" t="str">
        <f aca="false">IF(A519="","",A519-WEEKDAY(A519,3))</f>
        <v/>
      </c>
    </row>
    <row r="520" customFormat="false" ht="1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 t="str">
        <f aca="false">IFERROR(G520/F520,"")</f>
        <v/>
      </c>
      <c r="K520" s="16" t="str">
        <f aca="false">IFERROR(E520/G520,"")</f>
        <v/>
      </c>
      <c r="L520" s="16" t="str">
        <f aca="false">IFERROR(E520/H520,"")</f>
        <v/>
      </c>
      <c r="M520" s="16" t="str">
        <f aca="false">IFERROR(I520/E520,"")</f>
        <v/>
      </c>
      <c r="N520" s="16" t="str">
        <f aca="false">IF(A520="","",A520-WEEKDAY(A520,3))</f>
        <v/>
      </c>
    </row>
    <row r="521" customFormat="false" ht="1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 t="str">
        <f aca="false">IFERROR(G521/F521,"")</f>
        <v/>
      </c>
      <c r="K521" s="16" t="str">
        <f aca="false">IFERROR(E521/G521,"")</f>
        <v/>
      </c>
      <c r="L521" s="16" t="str">
        <f aca="false">IFERROR(E521/H521,"")</f>
        <v/>
      </c>
      <c r="M521" s="16" t="str">
        <f aca="false">IFERROR(I521/E521,"")</f>
        <v/>
      </c>
      <c r="N521" s="16" t="str">
        <f aca="false">IF(A521="","",A521-WEEKDAY(A521,3))</f>
        <v/>
      </c>
    </row>
    <row r="522" customFormat="false" ht="1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 t="str">
        <f aca="false">IFERROR(G522/F522,"")</f>
        <v/>
      </c>
      <c r="K522" s="16" t="str">
        <f aca="false">IFERROR(E522/G522,"")</f>
        <v/>
      </c>
      <c r="L522" s="16" t="str">
        <f aca="false">IFERROR(E522/H522,"")</f>
        <v/>
      </c>
      <c r="M522" s="16" t="str">
        <f aca="false">IFERROR(I522/E522,"")</f>
        <v/>
      </c>
      <c r="N522" s="16" t="str">
        <f aca="false">IF(A522="","",A522-WEEKDAY(A522,3))</f>
        <v/>
      </c>
    </row>
    <row r="523" customFormat="false" ht="1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 t="str">
        <f aca="false">IFERROR(G523/F523,"")</f>
        <v/>
      </c>
      <c r="K523" s="16" t="str">
        <f aca="false">IFERROR(E523/G523,"")</f>
        <v/>
      </c>
      <c r="L523" s="16" t="str">
        <f aca="false">IFERROR(E523/H523,"")</f>
        <v/>
      </c>
      <c r="M523" s="16" t="str">
        <f aca="false">IFERROR(I523/E523,"")</f>
        <v/>
      </c>
      <c r="N523" s="16" t="str">
        <f aca="false">IF(A523="","",A523-WEEKDAY(A523,3))</f>
        <v/>
      </c>
    </row>
    <row r="524" customFormat="false" ht="1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 t="str">
        <f aca="false">IFERROR(G524/F524,"")</f>
        <v/>
      </c>
      <c r="K524" s="16" t="str">
        <f aca="false">IFERROR(E524/G524,"")</f>
        <v/>
      </c>
      <c r="L524" s="16" t="str">
        <f aca="false">IFERROR(E524/H524,"")</f>
        <v/>
      </c>
      <c r="M524" s="16" t="str">
        <f aca="false">IFERROR(I524/E524,"")</f>
        <v/>
      </c>
      <c r="N524" s="16" t="str">
        <f aca="false">IF(A524="","",A524-WEEKDAY(A524,3))</f>
        <v/>
      </c>
    </row>
    <row r="525" customFormat="false" ht="1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 t="str">
        <f aca="false">IFERROR(G525/F525,"")</f>
        <v/>
      </c>
      <c r="K525" s="16" t="str">
        <f aca="false">IFERROR(E525/G525,"")</f>
        <v/>
      </c>
      <c r="L525" s="16" t="str">
        <f aca="false">IFERROR(E525/H525,"")</f>
        <v/>
      </c>
      <c r="M525" s="16" t="str">
        <f aca="false">IFERROR(I525/E525,"")</f>
        <v/>
      </c>
      <c r="N525" s="16" t="str">
        <f aca="false">IF(A525="","",A525-WEEKDAY(A525,3))</f>
        <v/>
      </c>
    </row>
    <row r="526" customFormat="false" ht="1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 t="str">
        <f aca="false">IFERROR(G526/F526,"")</f>
        <v/>
      </c>
      <c r="K526" s="16" t="str">
        <f aca="false">IFERROR(E526/G526,"")</f>
        <v/>
      </c>
      <c r="L526" s="16" t="str">
        <f aca="false">IFERROR(E526/H526,"")</f>
        <v/>
      </c>
      <c r="M526" s="16" t="str">
        <f aca="false">IFERROR(I526/E526,"")</f>
        <v/>
      </c>
      <c r="N526" s="16" t="str">
        <f aca="false">IF(A526="","",A526-WEEKDAY(A526,3))</f>
        <v/>
      </c>
    </row>
    <row r="527" customFormat="false" ht="1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 t="str">
        <f aca="false">IFERROR(G527/F527,"")</f>
        <v/>
      </c>
      <c r="K527" s="16" t="str">
        <f aca="false">IFERROR(E527/G527,"")</f>
        <v/>
      </c>
      <c r="L527" s="16" t="str">
        <f aca="false">IFERROR(E527/H527,"")</f>
        <v/>
      </c>
      <c r="M527" s="16" t="str">
        <f aca="false">IFERROR(I527/E527,"")</f>
        <v/>
      </c>
      <c r="N527" s="16" t="str">
        <f aca="false">IF(A527="","",A527-WEEKDAY(A527,3))</f>
        <v/>
      </c>
    </row>
    <row r="528" customFormat="false" ht="1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 t="str">
        <f aca="false">IFERROR(G528/F528,"")</f>
        <v/>
      </c>
      <c r="K528" s="16" t="str">
        <f aca="false">IFERROR(E528/G528,"")</f>
        <v/>
      </c>
      <c r="L528" s="16" t="str">
        <f aca="false">IFERROR(E528/H528,"")</f>
        <v/>
      </c>
      <c r="M528" s="16" t="str">
        <f aca="false">IFERROR(I528/E528,"")</f>
        <v/>
      </c>
      <c r="N528" s="16" t="str">
        <f aca="false">IF(A528="","",A528-WEEKDAY(A528,3))</f>
        <v/>
      </c>
    </row>
    <row r="529" customFormat="false" ht="1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 t="str">
        <f aca="false">IFERROR(G529/F529,"")</f>
        <v/>
      </c>
      <c r="K529" s="16" t="str">
        <f aca="false">IFERROR(E529/G529,"")</f>
        <v/>
      </c>
      <c r="L529" s="16" t="str">
        <f aca="false">IFERROR(E529/H529,"")</f>
        <v/>
      </c>
      <c r="M529" s="16" t="str">
        <f aca="false">IFERROR(I529/E529,"")</f>
        <v/>
      </c>
      <c r="N529" s="16" t="str">
        <f aca="false">IF(A529="","",A529-WEEKDAY(A529,3))</f>
        <v/>
      </c>
    </row>
    <row r="530" customFormat="false" ht="1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 t="str">
        <f aca="false">IFERROR(G530/F530,"")</f>
        <v/>
      </c>
      <c r="K530" s="16" t="str">
        <f aca="false">IFERROR(E530/G530,"")</f>
        <v/>
      </c>
      <c r="L530" s="16" t="str">
        <f aca="false">IFERROR(E530/H530,"")</f>
        <v/>
      </c>
      <c r="M530" s="16" t="str">
        <f aca="false">IFERROR(I530/E530,"")</f>
        <v/>
      </c>
      <c r="N530" s="16" t="str">
        <f aca="false">IF(A530="","",A530-WEEKDAY(A530,3))</f>
        <v/>
      </c>
    </row>
    <row r="531" customFormat="false" ht="1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 t="str">
        <f aca="false">IFERROR(G531/F531,"")</f>
        <v/>
      </c>
      <c r="K531" s="16" t="str">
        <f aca="false">IFERROR(E531/G531,"")</f>
        <v/>
      </c>
      <c r="L531" s="16" t="str">
        <f aca="false">IFERROR(E531/H531,"")</f>
        <v/>
      </c>
      <c r="M531" s="16" t="str">
        <f aca="false">IFERROR(I531/E531,"")</f>
        <v/>
      </c>
      <c r="N531" s="16" t="str">
        <f aca="false">IF(A531="","",A531-WEEKDAY(A531,3))</f>
        <v/>
      </c>
    </row>
    <row r="532" customFormat="false" ht="1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 t="str">
        <f aca="false">IFERROR(G532/F532,"")</f>
        <v/>
      </c>
      <c r="K532" s="16" t="str">
        <f aca="false">IFERROR(E532/G532,"")</f>
        <v/>
      </c>
      <c r="L532" s="16" t="str">
        <f aca="false">IFERROR(E532/H532,"")</f>
        <v/>
      </c>
      <c r="M532" s="16" t="str">
        <f aca="false">IFERROR(I532/E532,"")</f>
        <v/>
      </c>
      <c r="N532" s="16" t="str">
        <f aca="false">IF(A532="","",A532-WEEKDAY(A532,3))</f>
        <v/>
      </c>
    </row>
    <row r="533" customFormat="false" ht="1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 t="str">
        <f aca="false">IFERROR(G533/F533,"")</f>
        <v/>
      </c>
      <c r="K533" s="16" t="str">
        <f aca="false">IFERROR(E533/G533,"")</f>
        <v/>
      </c>
      <c r="L533" s="16" t="str">
        <f aca="false">IFERROR(E533/H533,"")</f>
        <v/>
      </c>
      <c r="M533" s="16" t="str">
        <f aca="false">IFERROR(I533/E533,"")</f>
        <v/>
      </c>
      <c r="N533" s="16" t="str">
        <f aca="false">IF(A533="","",A533-WEEKDAY(A533,3))</f>
        <v/>
      </c>
    </row>
    <row r="534" customFormat="false" ht="1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 t="str">
        <f aca="false">IFERROR(G534/F534,"")</f>
        <v/>
      </c>
      <c r="K534" s="16" t="str">
        <f aca="false">IFERROR(E534/G534,"")</f>
        <v/>
      </c>
      <c r="L534" s="16" t="str">
        <f aca="false">IFERROR(E534/H534,"")</f>
        <v/>
      </c>
      <c r="M534" s="16" t="str">
        <f aca="false">IFERROR(I534/E534,"")</f>
        <v/>
      </c>
      <c r="N534" s="16" t="str">
        <f aca="false">IF(A534="","",A534-WEEKDAY(A534,3))</f>
        <v/>
      </c>
    </row>
    <row r="535" customFormat="false" ht="1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 t="str">
        <f aca="false">IFERROR(G535/F535,"")</f>
        <v/>
      </c>
      <c r="K535" s="16" t="str">
        <f aca="false">IFERROR(E535/G535,"")</f>
        <v/>
      </c>
      <c r="L535" s="16" t="str">
        <f aca="false">IFERROR(E535/H535,"")</f>
        <v/>
      </c>
      <c r="M535" s="16" t="str">
        <f aca="false">IFERROR(I535/E535,"")</f>
        <v/>
      </c>
      <c r="N535" s="16" t="str">
        <f aca="false">IF(A535="","",A535-WEEKDAY(A535,3))</f>
        <v/>
      </c>
    </row>
    <row r="536" customFormat="false" ht="1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 t="str">
        <f aca="false">IFERROR(G536/F536,"")</f>
        <v/>
      </c>
      <c r="K536" s="16" t="str">
        <f aca="false">IFERROR(E536/G536,"")</f>
        <v/>
      </c>
      <c r="L536" s="16" t="str">
        <f aca="false">IFERROR(E536/H536,"")</f>
        <v/>
      </c>
      <c r="M536" s="16" t="str">
        <f aca="false">IFERROR(I536/E536,"")</f>
        <v/>
      </c>
      <c r="N536" s="16" t="str">
        <f aca="false">IF(A536="","",A536-WEEKDAY(A536,3))</f>
        <v/>
      </c>
    </row>
    <row r="537" customFormat="false" ht="1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 t="str">
        <f aca="false">IFERROR(G537/F537,"")</f>
        <v/>
      </c>
      <c r="K537" s="16" t="str">
        <f aca="false">IFERROR(E537/G537,"")</f>
        <v/>
      </c>
      <c r="L537" s="16" t="str">
        <f aca="false">IFERROR(E537/H537,"")</f>
        <v/>
      </c>
      <c r="M537" s="16" t="str">
        <f aca="false">IFERROR(I537/E537,"")</f>
        <v/>
      </c>
      <c r="N537" s="16" t="str">
        <f aca="false">IF(A537="","",A537-WEEKDAY(A537,3))</f>
        <v/>
      </c>
    </row>
    <row r="538" customFormat="false" ht="1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 t="str">
        <f aca="false">IFERROR(G538/F538,"")</f>
        <v/>
      </c>
      <c r="K538" s="16" t="str">
        <f aca="false">IFERROR(E538/G538,"")</f>
        <v/>
      </c>
      <c r="L538" s="16" t="str">
        <f aca="false">IFERROR(E538/H538,"")</f>
        <v/>
      </c>
      <c r="M538" s="16" t="str">
        <f aca="false">IFERROR(I538/E538,"")</f>
        <v/>
      </c>
      <c r="N538" s="16" t="str">
        <f aca="false">IF(A538="","",A538-WEEKDAY(A538,3))</f>
        <v/>
      </c>
    </row>
    <row r="539" customFormat="false" ht="1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 t="str">
        <f aca="false">IFERROR(G539/F539,"")</f>
        <v/>
      </c>
      <c r="K539" s="16" t="str">
        <f aca="false">IFERROR(E539/G539,"")</f>
        <v/>
      </c>
      <c r="L539" s="16" t="str">
        <f aca="false">IFERROR(E539/H539,"")</f>
        <v/>
      </c>
      <c r="M539" s="16" t="str">
        <f aca="false">IFERROR(I539/E539,"")</f>
        <v/>
      </c>
      <c r="N539" s="16" t="str">
        <f aca="false">IF(A539="","",A539-WEEKDAY(A539,3))</f>
        <v/>
      </c>
    </row>
    <row r="540" customFormat="false" ht="1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 t="str">
        <f aca="false">IFERROR(G540/F540,"")</f>
        <v/>
      </c>
      <c r="K540" s="16" t="str">
        <f aca="false">IFERROR(E540/G540,"")</f>
        <v/>
      </c>
      <c r="L540" s="16" t="str">
        <f aca="false">IFERROR(E540/H540,"")</f>
        <v/>
      </c>
      <c r="M540" s="16" t="str">
        <f aca="false">IFERROR(I540/E540,"")</f>
        <v/>
      </c>
      <c r="N540" s="16" t="str">
        <f aca="false">IF(A540="","",A540-WEEKDAY(A540,3))</f>
        <v/>
      </c>
    </row>
    <row r="541" customFormat="false" ht="1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 t="str">
        <f aca="false">IFERROR(G541/F541,"")</f>
        <v/>
      </c>
      <c r="K541" s="16" t="str">
        <f aca="false">IFERROR(E541/G541,"")</f>
        <v/>
      </c>
      <c r="L541" s="16" t="str">
        <f aca="false">IFERROR(E541/H541,"")</f>
        <v/>
      </c>
      <c r="M541" s="16" t="str">
        <f aca="false">IFERROR(I541/E541,"")</f>
        <v/>
      </c>
      <c r="N541" s="16" t="str">
        <f aca="false">IF(A541="","",A541-WEEKDAY(A541,3))</f>
        <v/>
      </c>
    </row>
    <row r="542" customFormat="false" ht="1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 t="str">
        <f aca="false">IFERROR(G542/F542,"")</f>
        <v/>
      </c>
      <c r="K542" s="16" t="str">
        <f aca="false">IFERROR(E542/G542,"")</f>
        <v/>
      </c>
      <c r="L542" s="16" t="str">
        <f aca="false">IFERROR(E542/H542,"")</f>
        <v/>
      </c>
      <c r="M542" s="16" t="str">
        <f aca="false">IFERROR(I542/E542,"")</f>
        <v/>
      </c>
      <c r="N542" s="16" t="str">
        <f aca="false">IF(A542="","",A542-WEEKDAY(A542,3))</f>
        <v/>
      </c>
    </row>
    <row r="543" customFormat="false" ht="1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 t="str">
        <f aca="false">IFERROR(G543/F543,"")</f>
        <v/>
      </c>
      <c r="K543" s="16" t="str">
        <f aca="false">IFERROR(E543/G543,"")</f>
        <v/>
      </c>
      <c r="L543" s="16" t="str">
        <f aca="false">IFERROR(E543/H543,"")</f>
        <v/>
      </c>
      <c r="M543" s="16" t="str">
        <f aca="false">IFERROR(I543/E543,"")</f>
        <v/>
      </c>
      <c r="N543" s="16" t="str">
        <f aca="false">IF(A543="","",A543-WEEKDAY(A543,3))</f>
        <v/>
      </c>
    </row>
    <row r="544" customFormat="false" ht="1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 t="str">
        <f aca="false">IFERROR(G544/F544,"")</f>
        <v/>
      </c>
      <c r="K544" s="16" t="str">
        <f aca="false">IFERROR(E544/G544,"")</f>
        <v/>
      </c>
      <c r="L544" s="16" t="str">
        <f aca="false">IFERROR(E544/H544,"")</f>
        <v/>
      </c>
      <c r="M544" s="16" t="str">
        <f aca="false">IFERROR(I544/E544,"")</f>
        <v/>
      </c>
      <c r="N544" s="16" t="str">
        <f aca="false">IF(A544="","",A544-WEEKDAY(A544,3))</f>
        <v/>
      </c>
    </row>
    <row r="545" customFormat="false" ht="1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 t="str">
        <f aca="false">IFERROR(G545/F545,"")</f>
        <v/>
      </c>
      <c r="K545" s="16" t="str">
        <f aca="false">IFERROR(E545/G545,"")</f>
        <v/>
      </c>
      <c r="L545" s="16" t="str">
        <f aca="false">IFERROR(E545/H545,"")</f>
        <v/>
      </c>
      <c r="M545" s="16" t="str">
        <f aca="false">IFERROR(I545/E545,"")</f>
        <v/>
      </c>
      <c r="N545" s="16" t="str">
        <f aca="false">IF(A545="","",A545-WEEKDAY(A545,3))</f>
        <v/>
      </c>
    </row>
    <row r="546" customFormat="false" ht="1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 t="str">
        <f aca="false">IFERROR(G546/F546,"")</f>
        <v/>
      </c>
      <c r="K546" s="16" t="str">
        <f aca="false">IFERROR(E546/G546,"")</f>
        <v/>
      </c>
      <c r="L546" s="16" t="str">
        <f aca="false">IFERROR(E546/H546,"")</f>
        <v/>
      </c>
      <c r="M546" s="16" t="str">
        <f aca="false">IFERROR(I546/E546,"")</f>
        <v/>
      </c>
      <c r="N546" s="16" t="str">
        <f aca="false">IF(A546="","",A546-WEEKDAY(A546,3))</f>
        <v/>
      </c>
    </row>
    <row r="547" customFormat="false" ht="1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 t="str">
        <f aca="false">IFERROR(G547/F547,"")</f>
        <v/>
      </c>
      <c r="K547" s="16" t="str">
        <f aca="false">IFERROR(E547/G547,"")</f>
        <v/>
      </c>
      <c r="L547" s="16" t="str">
        <f aca="false">IFERROR(E547/H547,"")</f>
        <v/>
      </c>
      <c r="M547" s="16" t="str">
        <f aca="false">IFERROR(I547/E547,"")</f>
        <v/>
      </c>
      <c r="N547" s="16" t="str">
        <f aca="false">IF(A547="","",A547-WEEKDAY(A547,3))</f>
        <v/>
      </c>
    </row>
    <row r="548" customFormat="false" ht="1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 t="str">
        <f aca="false">IFERROR(G548/F548,"")</f>
        <v/>
      </c>
      <c r="K548" s="16" t="str">
        <f aca="false">IFERROR(E548/G548,"")</f>
        <v/>
      </c>
      <c r="L548" s="16" t="str">
        <f aca="false">IFERROR(E548/H548,"")</f>
        <v/>
      </c>
      <c r="M548" s="16" t="str">
        <f aca="false">IFERROR(I548/E548,"")</f>
        <v/>
      </c>
      <c r="N548" s="16" t="str">
        <f aca="false">IF(A548="","",A548-WEEKDAY(A548,3))</f>
        <v/>
      </c>
    </row>
    <row r="549" customFormat="false" ht="1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 t="str">
        <f aca="false">IFERROR(G549/F549,"")</f>
        <v/>
      </c>
      <c r="K549" s="16" t="str">
        <f aca="false">IFERROR(E549/G549,"")</f>
        <v/>
      </c>
      <c r="L549" s="16" t="str">
        <f aca="false">IFERROR(E549/H549,"")</f>
        <v/>
      </c>
      <c r="M549" s="16" t="str">
        <f aca="false">IFERROR(I549/E549,"")</f>
        <v/>
      </c>
      <c r="N549" s="16" t="str">
        <f aca="false">IF(A549="","",A549-WEEKDAY(A549,3))</f>
        <v/>
      </c>
    </row>
    <row r="550" customFormat="false" ht="1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 t="str">
        <f aca="false">IFERROR(G550/F550,"")</f>
        <v/>
      </c>
      <c r="K550" s="16" t="str">
        <f aca="false">IFERROR(E550/G550,"")</f>
        <v/>
      </c>
      <c r="L550" s="16" t="str">
        <f aca="false">IFERROR(E550/H550,"")</f>
        <v/>
      </c>
      <c r="M550" s="16" t="str">
        <f aca="false">IFERROR(I550/E550,"")</f>
        <v/>
      </c>
      <c r="N550" s="16" t="str">
        <f aca="false">IF(A550="","",A550-WEEKDAY(A550,3))</f>
        <v/>
      </c>
    </row>
    <row r="551" customFormat="false" ht="1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 t="str">
        <f aca="false">IFERROR(G551/F551,"")</f>
        <v/>
      </c>
      <c r="K551" s="16" t="str">
        <f aca="false">IFERROR(E551/G551,"")</f>
        <v/>
      </c>
      <c r="L551" s="16" t="str">
        <f aca="false">IFERROR(E551/H551,"")</f>
        <v/>
      </c>
      <c r="M551" s="16" t="str">
        <f aca="false">IFERROR(I551/E551,"")</f>
        <v/>
      </c>
      <c r="N551" s="16" t="str">
        <f aca="false">IF(A551="","",A551-WEEKDAY(A551,3))</f>
        <v/>
      </c>
    </row>
    <row r="552" customFormat="false" ht="1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 t="str">
        <f aca="false">IFERROR(G552/F552,"")</f>
        <v/>
      </c>
      <c r="K552" s="16" t="str">
        <f aca="false">IFERROR(E552/G552,"")</f>
        <v/>
      </c>
      <c r="L552" s="16" t="str">
        <f aca="false">IFERROR(E552/H552,"")</f>
        <v/>
      </c>
      <c r="M552" s="16" t="str">
        <f aca="false">IFERROR(I552/E552,"")</f>
        <v/>
      </c>
      <c r="N552" s="16" t="str">
        <f aca="false">IF(A552="","",A552-WEEKDAY(A552,3))</f>
        <v/>
      </c>
    </row>
    <row r="553" customFormat="false" ht="1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 t="str">
        <f aca="false">IFERROR(G553/F553,"")</f>
        <v/>
      </c>
      <c r="K553" s="16" t="str">
        <f aca="false">IFERROR(E553/G553,"")</f>
        <v/>
      </c>
      <c r="L553" s="16" t="str">
        <f aca="false">IFERROR(E553/H553,"")</f>
        <v/>
      </c>
      <c r="M553" s="16" t="str">
        <f aca="false">IFERROR(I553/E553,"")</f>
        <v/>
      </c>
      <c r="N553" s="16" t="str">
        <f aca="false">IF(A553="","",A553-WEEKDAY(A553,3))</f>
        <v/>
      </c>
    </row>
    <row r="554" customFormat="false" ht="1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 t="str">
        <f aca="false">IFERROR(G554/F554,"")</f>
        <v/>
      </c>
      <c r="K554" s="16" t="str">
        <f aca="false">IFERROR(E554/G554,"")</f>
        <v/>
      </c>
      <c r="L554" s="16" t="str">
        <f aca="false">IFERROR(E554/H554,"")</f>
        <v/>
      </c>
      <c r="M554" s="16" t="str">
        <f aca="false">IFERROR(I554/E554,"")</f>
        <v/>
      </c>
      <c r="N554" s="16" t="str">
        <f aca="false">IF(A554="","",A554-WEEKDAY(A554,3))</f>
        <v/>
      </c>
    </row>
    <row r="555" customFormat="false" ht="1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 t="str">
        <f aca="false">IFERROR(G555/F555,"")</f>
        <v/>
      </c>
      <c r="K555" s="16" t="str">
        <f aca="false">IFERROR(E555/G555,"")</f>
        <v/>
      </c>
      <c r="L555" s="16" t="str">
        <f aca="false">IFERROR(E555/H555,"")</f>
        <v/>
      </c>
      <c r="M555" s="16" t="str">
        <f aca="false">IFERROR(I555/E555,"")</f>
        <v/>
      </c>
      <c r="N555" s="16" t="str">
        <f aca="false">IF(A555="","",A555-WEEKDAY(A555,3))</f>
        <v/>
      </c>
    </row>
    <row r="556" customFormat="false" ht="1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 t="str">
        <f aca="false">IFERROR(G556/F556,"")</f>
        <v/>
      </c>
      <c r="K556" s="16" t="str">
        <f aca="false">IFERROR(E556/G556,"")</f>
        <v/>
      </c>
      <c r="L556" s="16" t="str">
        <f aca="false">IFERROR(E556/H556,"")</f>
        <v/>
      </c>
      <c r="M556" s="16" t="str">
        <f aca="false">IFERROR(I556/E556,"")</f>
        <v/>
      </c>
      <c r="N556" s="16" t="str">
        <f aca="false">IF(A556="","",A556-WEEKDAY(A556,3))</f>
        <v/>
      </c>
    </row>
    <row r="557" customFormat="false" ht="1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 t="str">
        <f aca="false">IFERROR(G557/F557,"")</f>
        <v/>
      </c>
      <c r="K557" s="16" t="str">
        <f aca="false">IFERROR(E557/G557,"")</f>
        <v/>
      </c>
      <c r="L557" s="16" t="str">
        <f aca="false">IFERROR(E557/H557,"")</f>
        <v/>
      </c>
      <c r="M557" s="16" t="str">
        <f aca="false">IFERROR(I557/E557,"")</f>
        <v/>
      </c>
      <c r="N557" s="16" t="str">
        <f aca="false">IF(A557="","",A557-WEEKDAY(A557,3))</f>
        <v/>
      </c>
    </row>
    <row r="558" customFormat="false" ht="1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 t="str">
        <f aca="false">IFERROR(G558/F558,"")</f>
        <v/>
      </c>
      <c r="K558" s="16" t="str">
        <f aca="false">IFERROR(E558/G558,"")</f>
        <v/>
      </c>
      <c r="L558" s="16" t="str">
        <f aca="false">IFERROR(E558/H558,"")</f>
        <v/>
      </c>
      <c r="M558" s="16" t="str">
        <f aca="false">IFERROR(I558/E558,"")</f>
        <v/>
      </c>
      <c r="N558" s="16" t="str">
        <f aca="false">IF(A558="","",A558-WEEKDAY(A558,3))</f>
        <v/>
      </c>
    </row>
    <row r="559" customFormat="false" ht="1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 t="str">
        <f aca="false">IFERROR(G559/F559,"")</f>
        <v/>
      </c>
      <c r="K559" s="16" t="str">
        <f aca="false">IFERROR(E559/G559,"")</f>
        <v/>
      </c>
      <c r="L559" s="16" t="str">
        <f aca="false">IFERROR(E559/H559,"")</f>
        <v/>
      </c>
      <c r="M559" s="16" t="str">
        <f aca="false">IFERROR(I559/E559,"")</f>
        <v/>
      </c>
      <c r="N559" s="16" t="str">
        <f aca="false">IF(A559="","",A559-WEEKDAY(A559,3))</f>
        <v/>
      </c>
    </row>
    <row r="560" customFormat="false" ht="1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 t="str">
        <f aca="false">IFERROR(G560/F560,"")</f>
        <v/>
      </c>
      <c r="K560" s="16" t="str">
        <f aca="false">IFERROR(E560/G560,"")</f>
        <v/>
      </c>
      <c r="L560" s="16" t="str">
        <f aca="false">IFERROR(E560/H560,"")</f>
        <v/>
      </c>
      <c r="M560" s="16" t="str">
        <f aca="false">IFERROR(I560/E560,"")</f>
        <v/>
      </c>
      <c r="N560" s="16" t="str">
        <f aca="false">IF(A560="","",A560-WEEKDAY(A560,3))</f>
        <v/>
      </c>
    </row>
    <row r="561" customFormat="false" ht="1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 t="str">
        <f aca="false">IFERROR(G561/F561,"")</f>
        <v/>
      </c>
      <c r="K561" s="16" t="str">
        <f aca="false">IFERROR(E561/G561,"")</f>
        <v/>
      </c>
      <c r="L561" s="16" t="str">
        <f aca="false">IFERROR(E561/H561,"")</f>
        <v/>
      </c>
      <c r="M561" s="16" t="str">
        <f aca="false">IFERROR(I561/E561,"")</f>
        <v/>
      </c>
      <c r="N561" s="16" t="str">
        <f aca="false">IF(A561="","",A561-WEEKDAY(A561,3))</f>
        <v/>
      </c>
    </row>
    <row r="562" customFormat="false" ht="1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 t="str">
        <f aca="false">IFERROR(G562/F562,"")</f>
        <v/>
      </c>
      <c r="K562" s="16" t="str">
        <f aca="false">IFERROR(E562/G562,"")</f>
        <v/>
      </c>
      <c r="L562" s="16" t="str">
        <f aca="false">IFERROR(E562/H562,"")</f>
        <v/>
      </c>
      <c r="M562" s="16" t="str">
        <f aca="false">IFERROR(I562/E562,"")</f>
        <v/>
      </c>
      <c r="N562" s="16" t="str">
        <f aca="false">IF(A562="","",A562-WEEKDAY(A562,3))</f>
        <v/>
      </c>
    </row>
    <row r="563" customFormat="false" ht="1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 t="str">
        <f aca="false">IFERROR(G563/F563,"")</f>
        <v/>
      </c>
      <c r="K563" s="16" t="str">
        <f aca="false">IFERROR(E563/G563,"")</f>
        <v/>
      </c>
      <c r="L563" s="16" t="str">
        <f aca="false">IFERROR(E563/H563,"")</f>
        <v/>
      </c>
      <c r="M563" s="16" t="str">
        <f aca="false">IFERROR(I563/E563,"")</f>
        <v/>
      </c>
      <c r="N563" s="16" t="str">
        <f aca="false">IF(A563="","",A563-WEEKDAY(A563,3))</f>
        <v/>
      </c>
    </row>
    <row r="564" customFormat="false" ht="1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 t="str">
        <f aca="false">IFERROR(G564/F564,"")</f>
        <v/>
      </c>
      <c r="K564" s="16" t="str">
        <f aca="false">IFERROR(E564/G564,"")</f>
        <v/>
      </c>
      <c r="L564" s="16" t="str">
        <f aca="false">IFERROR(E564/H564,"")</f>
        <v/>
      </c>
      <c r="M564" s="16" t="str">
        <f aca="false">IFERROR(I564/E564,"")</f>
        <v/>
      </c>
      <c r="N564" s="16" t="str">
        <f aca="false">IF(A564="","",A564-WEEKDAY(A564,3))</f>
        <v/>
      </c>
    </row>
    <row r="565" customFormat="false" ht="1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 t="str">
        <f aca="false">IFERROR(G565/F565,"")</f>
        <v/>
      </c>
      <c r="K565" s="16" t="str">
        <f aca="false">IFERROR(E565/G565,"")</f>
        <v/>
      </c>
      <c r="L565" s="16" t="str">
        <f aca="false">IFERROR(E565/H565,"")</f>
        <v/>
      </c>
      <c r="M565" s="16" t="str">
        <f aca="false">IFERROR(I565/E565,"")</f>
        <v/>
      </c>
      <c r="N565" s="16" t="str">
        <f aca="false">IF(A565="","",A565-WEEKDAY(A565,3))</f>
        <v/>
      </c>
    </row>
    <row r="566" customFormat="false" ht="1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 t="str">
        <f aca="false">IFERROR(G566/F566,"")</f>
        <v/>
      </c>
      <c r="K566" s="16" t="str">
        <f aca="false">IFERROR(E566/G566,"")</f>
        <v/>
      </c>
      <c r="L566" s="16" t="str">
        <f aca="false">IFERROR(E566/H566,"")</f>
        <v/>
      </c>
      <c r="M566" s="16" t="str">
        <f aca="false">IFERROR(I566/E566,"")</f>
        <v/>
      </c>
      <c r="N566" s="16" t="str">
        <f aca="false">IF(A566="","",A566-WEEKDAY(A566,3))</f>
        <v/>
      </c>
    </row>
    <row r="567" customFormat="false" ht="1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 t="str">
        <f aca="false">IFERROR(G567/F567,"")</f>
        <v/>
      </c>
      <c r="K567" s="16" t="str">
        <f aca="false">IFERROR(E567/G567,"")</f>
        <v/>
      </c>
      <c r="L567" s="16" t="str">
        <f aca="false">IFERROR(E567/H567,"")</f>
        <v/>
      </c>
      <c r="M567" s="16" t="str">
        <f aca="false">IFERROR(I567/E567,"")</f>
        <v/>
      </c>
      <c r="N567" s="16" t="str">
        <f aca="false">IF(A567="","",A567-WEEKDAY(A567,3))</f>
        <v/>
      </c>
    </row>
    <row r="568" customFormat="false" ht="1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 t="str">
        <f aca="false">IFERROR(G568/F568,"")</f>
        <v/>
      </c>
      <c r="K568" s="16" t="str">
        <f aca="false">IFERROR(E568/G568,"")</f>
        <v/>
      </c>
      <c r="L568" s="16" t="str">
        <f aca="false">IFERROR(E568/H568,"")</f>
        <v/>
      </c>
      <c r="M568" s="16" t="str">
        <f aca="false">IFERROR(I568/E568,"")</f>
        <v/>
      </c>
      <c r="N568" s="16" t="str">
        <f aca="false">IF(A568="","",A568-WEEKDAY(A568,3))</f>
        <v/>
      </c>
    </row>
    <row r="569" customFormat="false" ht="1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 t="str">
        <f aca="false">IFERROR(G569/F569,"")</f>
        <v/>
      </c>
      <c r="K569" s="16" t="str">
        <f aca="false">IFERROR(E569/G569,"")</f>
        <v/>
      </c>
      <c r="L569" s="16" t="str">
        <f aca="false">IFERROR(E569/H569,"")</f>
        <v/>
      </c>
      <c r="M569" s="16" t="str">
        <f aca="false">IFERROR(I569/E569,"")</f>
        <v/>
      </c>
      <c r="N569" s="16" t="str">
        <f aca="false">IF(A569="","",A569-WEEKDAY(A569,3))</f>
        <v/>
      </c>
    </row>
    <row r="570" customFormat="false" ht="1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 t="str">
        <f aca="false">IFERROR(G570/F570,"")</f>
        <v/>
      </c>
      <c r="K570" s="16" t="str">
        <f aca="false">IFERROR(E570/G570,"")</f>
        <v/>
      </c>
      <c r="L570" s="16" t="str">
        <f aca="false">IFERROR(E570/H570,"")</f>
        <v/>
      </c>
      <c r="M570" s="16" t="str">
        <f aca="false">IFERROR(I570/E570,"")</f>
        <v/>
      </c>
      <c r="N570" s="16" t="str">
        <f aca="false">IF(A570="","",A570-WEEKDAY(A570,3))</f>
        <v/>
      </c>
    </row>
    <row r="571" customFormat="false" ht="1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 t="str">
        <f aca="false">IFERROR(G571/F571,"")</f>
        <v/>
      </c>
      <c r="K571" s="16" t="str">
        <f aca="false">IFERROR(E571/G571,"")</f>
        <v/>
      </c>
      <c r="L571" s="16" t="str">
        <f aca="false">IFERROR(E571/H571,"")</f>
        <v/>
      </c>
      <c r="M571" s="16" t="str">
        <f aca="false">IFERROR(I571/E571,"")</f>
        <v/>
      </c>
      <c r="N571" s="16" t="str">
        <f aca="false">IF(A571="","",A571-WEEKDAY(A571,3))</f>
        <v/>
      </c>
    </row>
    <row r="572" customFormat="false" ht="1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 t="str">
        <f aca="false">IFERROR(G572/F572,"")</f>
        <v/>
      </c>
      <c r="K572" s="16" t="str">
        <f aca="false">IFERROR(E572/G572,"")</f>
        <v/>
      </c>
      <c r="L572" s="16" t="str">
        <f aca="false">IFERROR(E572/H572,"")</f>
        <v/>
      </c>
      <c r="M572" s="16" t="str">
        <f aca="false">IFERROR(I572/E572,"")</f>
        <v/>
      </c>
      <c r="N572" s="16" t="str">
        <f aca="false">IF(A572="","",A572-WEEKDAY(A572,3))</f>
        <v/>
      </c>
    </row>
    <row r="573" customFormat="false" ht="1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 t="str">
        <f aca="false">IFERROR(G573/F573,"")</f>
        <v/>
      </c>
      <c r="K573" s="16" t="str">
        <f aca="false">IFERROR(E573/G573,"")</f>
        <v/>
      </c>
      <c r="L573" s="16" t="str">
        <f aca="false">IFERROR(E573/H573,"")</f>
        <v/>
      </c>
      <c r="M573" s="16" t="str">
        <f aca="false">IFERROR(I573/E573,"")</f>
        <v/>
      </c>
      <c r="N573" s="16" t="str">
        <f aca="false">IF(A573="","",A573-WEEKDAY(A573,3))</f>
        <v/>
      </c>
    </row>
    <row r="574" customFormat="false" ht="1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 t="str">
        <f aca="false">IFERROR(G574/F574,"")</f>
        <v/>
      </c>
      <c r="K574" s="16" t="str">
        <f aca="false">IFERROR(E574/G574,"")</f>
        <v/>
      </c>
      <c r="L574" s="16" t="str">
        <f aca="false">IFERROR(E574/H574,"")</f>
        <v/>
      </c>
      <c r="M574" s="16" t="str">
        <f aca="false">IFERROR(I574/E574,"")</f>
        <v/>
      </c>
      <c r="N574" s="16" t="str">
        <f aca="false">IF(A574="","",A574-WEEKDAY(A574,3))</f>
        <v/>
      </c>
    </row>
    <row r="575" customFormat="false" ht="1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 t="str">
        <f aca="false">IFERROR(G575/F575,"")</f>
        <v/>
      </c>
      <c r="K575" s="16" t="str">
        <f aca="false">IFERROR(E575/G575,"")</f>
        <v/>
      </c>
      <c r="L575" s="16" t="str">
        <f aca="false">IFERROR(E575/H575,"")</f>
        <v/>
      </c>
      <c r="M575" s="16" t="str">
        <f aca="false">IFERROR(I575/E575,"")</f>
        <v/>
      </c>
      <c r="N575" s="16" t="str">
        <f aca="false">IF(A575="","",A575-WEEKDAY(A575,3))</f>
        <v/>
      </c>
    </row>
    <row r="576" customFormat="false" ht="1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 t="str">
        <f aca="false">IFERROR(G576/F576,"")</f>
        <v/>
      </c>
      <c r="K576" s="16" t="str">
        <f aca="false">IFERROR(E576/G576,"")</f>
        <v/>
      </c>
      <c r="L576" s="16" t="str">
        <f aca="false">IFERROR(E576/H576,"")</f>
        <v/>
      </c>
      <c r="M576" s="16" t="str">
        <f aca="false">IFERROR(I576/E576,"")</f>
        <v/>
      </c>
      <c r="N576" s="16" t="str">
        <f aca="false">IF(A576="","",A576-WEEKDAY(A576,3))</f>
        <v/>
      </c>
    </row>
    <row r="577" customFormat="false" ht="1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 t="str">
        <f aca="false">IFERROR(G577/F577,"")</f>
        <v/>
      </c>
      <c r="K577" s="16" t="str">
        <f aca="false">IFERROR(E577/G577,"")</f>
        <v/>
      </c>
      <c r="L577" s="16" t="str">
        <f aca="false">IFERROR(E577/H577,"")</f>
        <v/>
      </c>
      <c r="M577" s="16" t="str">
        <f aca="false">IFERROR(I577/E577,"")</f>
        <v/>
      </c>
      <c r="N577" s="16" t="str">
        <f aca="false">IF(A577="","",A577-WEEKDAY(A577,3))</f>
        <v/>
      </c>
    </row>
    <row r="578" customFormat="false" ht="1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 t="str">
        <f aca="false">IFERROR(G578/F578,"")</f>
        <v/>
      </c>
      <c r="K578" s="16" t="str">
        <f aca="false">IFERROR(E578/G578,"")</f>
        <v/>
      </c>
      <c r="L578" s="16" t="str">
        <f aca="false">IFERROR(E578/H578,"")</f>
        <v/>
      </c>
      <c r="M578" s="16" t="str">
        <f aca="false">IFERROR(I578/E578,"")</f>
        <v/>
      </c>
      <c r="N578" s="16" t="str">
        <f aca="false">IF(A578="","",A578-WEEKDAY(A578,3))</f>
        <v/>
      </c>
    </row>
    <row r="579" customFormat="false" ht="1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 t="str">
        <f aca="false">IFERROR(G579/F579,"")</f>
        <v/>
      </c>
      <c r="K579" s="16" t="str">
        <f aca="false">IFERROR(E579/G579,"")</f>
        <v/>
      </c>
      <c r="L579" s="16" t="str">
        <f aca="false">IFERROR(E579/H579,"")</f>
        <v/>
      </c>
      <c r="M579" s="16" t="str">
        <f aca="false">IFERROR(I579/E579,"")</f>
        <v/>
      </c>
      <c r="N579" s="16" t="str">
        <f aca="false">IF(A579="","",A579-WEEKDAY(A579,3))</f>
        <v/>
      </c>
    </row>
    <row r="580" customFormat="false" ht="1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 t="str">
        <f aca="false">IFERROR(G580/F580,"")</f>
        <v/>
      </c>
      <c r="K580" s="16" t="str">
        <f aca="false">IFERROR(E580/G580,"")</f>
        <v/>
      </c>
      <c r="L580" s="16" t="str">
        <f aca="false">IFERROR(E580/H580,"")</f>
        <v/>
      </c>
      <c r="M580" s="16" t="str">
        <f aca="false">IFERROR(I580/E580,"")</f>
        <v/>
      </c>
      <c r="N580" s="16" t="str">
        <f aca="false">IF(A580="","",A580-WEEKDAY(A580,3))</f>
        <v/>
      </c>
    </row>
    <row r="581" customFormat="false" ht="1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 t="str">
        <f aca="false">IFERROR(G581/F581,"")</f>
        <v/>
      </c>
      <c r="K581" s="16" t="str">
        <f aca="false">IFERROR(E581/G581,"")</f>
        <v/>
      </c>
      <c r="L581" s="16" t="str">
        <f aca="false">IFERROR(E581/H581,"")</f>
        <v/>
      </c>
      <c r="M581" s="16" t="str">
        <f aca="false">IFERROR(I581/E581,"")</f>
        <v/>
      </c>
      <c r="N581" s="16" t="str">
        <f aca="false">IF(A581="","",A581-WEEKDAY(A581,3))</f>
        <v/>
      </c>
    </row>
    <row r="582" customFormat="false" ht="1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 t="str">
        <f aca="false">IFERROR(G582/F582,"")</f>
        <v/>
      </c>
      <c r="K582" s="16" t="str">
        <f aca="false">IFERROR(E582/G582,"")</f>
        <v/>
      </c>
      <c r="L582" s="16" t="str">
        <f aca="false">IFERROR(E582/H582,"")</f>
        <v/>
      </c>
      <c r="M582" s="16" t="str">
        <f aca="false">IFERROR(I582/E582,"")</f>
        <v/>
      </c>
      <c r="N582" s="16" t="str">
        <f aca="false">IF(A582="","",A582-WEEKDAY(A582,3))</f>
        <v/>
      </c>
    </row>
    <row r="583" customFormat="false" ht="1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 t="str">
        <f aca="false">IFERROR(G583/F583,"")</f>
        <v/>
      </c>
      <c r="K583" s="16" t="str">
        <f aca="false">IFERROR(E583/G583,"")</f>
        <v/>
      </c>
      <c r="L583" s="16" t="str">
        <f aca="false">IFERROR(E583/H583,"")</f>
        <v/>
      </c>
      <c r="M583" s="16" t="str">
        <f aca="false">IFERROR(I583/E583,"")</f>
        <v/>
      </c>
      <c r="N583" s="16" t="str">
        <f aca="false">IF(A583="","",A583-WEEKDAY(A583,3))</f>
        <v/>
      </c>
    </row>
    <row r="584" customFormat="false" ht="1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 t="str">
        <f aca="false">IFERROR(G584/F584,"")</f>
        <v/>
      </c>
      <c r="K584" s="16" t="str">
        <f aca="false">IFERROR(E584/G584,"")</f>
        <v/>
      </c>
      <c r="L584" s="16" t="str">
        <f aca="false">IFERROR(E584/H584,"")</f>
        <v/>
      </c>
      <c r="M584" s="16" t="str">
        <f aca="false">IFERROR(I584/E584,"")</f>
        <v/>
      </c>
      <c r="N584" s="16" t="str">
        <f aca="false">IF(A584="","",A584-WEEKDAY(A584,3))</f>
        <v/>
      </c>
    </row>
    <row r="585" customFormat="false" ht="1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 t="str">
        <f aca="false">IFERROR(G585/F585,"")</f>
        <v/>
      </c>
      <c r="K585" s="16" t="str">
        <f aca="false">IFERROR(E585/G585,"")</f>
        <v/>
      </c>
      <c r="L585" s="16" t="str">
        <f aca="false">IFERROR(E585/H585,"")</f>
        <v/>
      </c>
      <c r="M585" s="16" t="str">
        <f aca="false">IFERROR(I585/E585,"")</f>
        <v/>
      </c>
      <c r="N585" s="16" t="str">
        <f aca="false">IF(A585="","",A585-WEEKDAY(A585,3))</f>
        <v/>
      </c>
    </row>
    <row r="586" customFormat="false" ht="1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 t="str">
        <f aca="false">IFERROR(G586/F586,"")</f>
        <v/>
      </c>
      <c r="K586" s="16" t="str">
        <f aca="false">IFERROR(E586/G586,"")</f>
        <v/>
      </c>
      <c r="L586" s="16" t="str">
        <f aca="false">IFERROR(E586/H586,"")</f>
        <v/>
      </c>
      <c r="M586" s="16" t="str">
        <f aca="false">IFERROR(I586/E586,"")</f>
        <v/>
      </c>
      <c r="N586" s="16" t="str">
        <f aca="false">IF(A586="","",A586-WEEKDAY(A586,3))</f>
        <v/>
      </c>
    </row>
    <row r="587" customFormat="false" ht="1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 t="str">
        <f aca="false">IFERROR(G587/F587,"")</f>
        <v/>
      </c>
      <c r="K587" s="16" t="str">
        <f aca="false">IFERROR(E587/G587,"")</f>
        <v/>
      </c>
      <c r="L587" s="16" t="str">
        <f aca="false">IFERROR(E587/H587,"")</f>
        <v/>
      </c>
      <c r="M587" s="16" t="str">
        <f aca="false">IFERROR(I587/E587,"")</f>
        <v/>
      </c>
      <c r="N587" s="16" t="str">
        <f aca="false">IF(A587="","",A587-WEEKDAY(A587,3))</f>
        <v/>
      </c>
    </row>
    <row r="588" customFormat="false" ht="1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 t="str">
        <f aca="false">IFERROR(G588/F588,"")</f>
        <v/>
      </c>
      <c r="K588" s="16" t="str">
        <f aca="false">IFERROR(E588/G588,"")</f>
        <v/>
      </c>
      <c r="L588" s="16" t="str">
        <f aca="false">IFERROR(E588/H588,"")</f>
        <v/>
      </c>
      <c r="M588" s="16" t="str">
        <f aca="false">IFERROR(I588/E588,"")</f>
        <v/>
      </c>
      <c r="N588" s="16" t="str">
        <f aca="false">IF(A588="","",A588-WEEKDAY(A588,3))</f>
        <v/>
      </c>
    </row>
    <row r="589" customFormat="false" ht="1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 t="str">
        <f aca="false">IFERROR(G589/F589,"")</f>
        <v/>
      </c>
      <c r="K589" s="16" t="str">
        <f aca="false">IFERROR(E589/G589,"")</f>
        <v/>
      </c>
      <c r="L589" s="16" t="str">
        <f aca="false">IFERROR(E589/H589,"")</f>
        <v/>
      </c>
      <c r="M589" s="16" t="str">
        <f aca="false">IFERROR(I589/E589,"")</f>
        <v/>
      </c>
      <c r="N589" s="16" t="str">
        <f aca="false">IF(A589="","",A589-WEEKDAY(A589,3))</f>
        <v/>
      </c>
    </row>
    <row r="590" customFormat="false" ht="1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 t="str">
        <f aca="false">IFERROR(G590/F590,"")</f>
        <v/>
      </c>
      <c r="K590" s="16" t="str">
        <f aca="false">IFERROR(E590/G590,"")</f>
        <v/>
      </c>
      <c r="L590" s="16" t="str">
        <f aca="false">IFERROR(E590/H590,"")</f>
        <v/>
      </c>
      <c r="M590" s="16" t="str">
        <f aca="false">IFERROR(I590/E590,"")</f>
        <v/>
      </c>
      <c r="N590" s="16" t="str">
        <f aca="false">IF(A590="","",A590-WEEKDAY(A590,3))</f>
        <v/>
      </c>
    </row>
    <row r="591" customFormat="false" ht="1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 t="str">
        <f aca="false">IFERROR(G591/F591,"")</f>
        <v/>
      </c>
      <c r="K591" s="16" t="str">
        <f aca="false">IFERROR(E591/G591,"")</f>
        <v/>
      </c>
      <c r="L591" s="16" t="str">
        <f aca="false">IFERROR(E591/H591,"")</f>
        <v/>
      </c>
      <c r="M591" s="16" t="str">
        <f aca="false">IFERROR(I591/E591,"")</f>
        <v/>
      </c>
      <c r="N591" s="16" t="str">
        <f aca="false">IF(A591="","",A591-WEEKDAY(A591,3))</f>
        <v/>
      </c>
    </row>
    <row r="592" customFormat="false" ht="1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 t="str">
        <f aca="false">IFERROR(G592/F592,"")</f>
        <v/>
      </c>
      <c r="K592" s="16" t="str">
        <f aca="false">IFERROR(E592/G592,"")</f>
        <v/>
      </c>
      <c r="L592" s="16" t="str">
        <f aca="false">IFERROR(E592/H592,"")</f>
        <v/>
      </c>
      <c r="M592" s="16" t="str">
        <f aca="false">IFERROR(I592/E592,"")</f>
        <v/>
      </c>
      <c r="N592" s="16" t="str">
        <f aca="false">IF(A592="","",A592-WEEKDAY(A592,3))</f>
        <v/>
      </c>
    </row>
    <row r="593" customFormat="false" ht="1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 t="str">
        <f aca="false">IFERROR(G593/F593,"")</f>
        <v/>
      </c>
      <c r="K593" s="16" t="str">
        <f aca="false">IFERROR(E593/G593,"")</f>
        <v/>
      </c>
      <c r="L593" s="16" t="str">
        <f aca="false">IFERROR(E593/H593,"")</f>
        <v/>
      </c>
      <c r="M593" s="16" t="str">
        <f aca="false">IFERROR(I593/E593,"")</f>
        <v/>
      </c>
      <c r="N593" s="16" t="str">
        <f aca="false">IF(A593="","",A593-WEEKDAY(A593,3))</f>
        <v/>
      </c>
    </row>
    <row r="594" customFormat="false" ht="1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 t="str">
        <f aca="false">IFERROR(G594/F594,"")</f>
        <v/>
      </c>
      <c r="K594" s="16" t="str">
        <f aca="false">IFERROR(E594/G594,"")</f>
        <v/>
      </c>
      <c r="L594" s="16" t="str">
        <f aca="false">IFERROR(E594/H594,"")</f>
        <v/>
      </c>
      <c r="M594" s="16" t="str">
        <f aca="false">IFERROR(I594/E594,"")</f>
        <v/>
      </c>
      <c r="N594" s="16" t="str">
        <f aca="false">IF(A594="","",A594-WEEKDAY(A594,3))</f>
        <v/>
      </c>
    </row>
    <row r="595" customFormat="false" ht="1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 t="str">
        <f aca="false">IFERROR(G595/F595,"")</f>
        <v/>
      </c>
      <c r="K595" s="16" t="str">
        <f aca="false">IFERROR(E595/G595,"")</f>
        <v/>
      </c>
      <c r="L595" s="16" t="str">
        <f aca="false">IFERROR(E595/H595,"")</f>
        <v/>
      </c>
      <c r="M595" s="16" t="str">
        <f aca="false">IFERROR(I595/E595,"")</f>
        <v/>
      </c>
      <c r="N595" s="16" t="str">
        <f aca="false">IF(A595="","",A595-WEEKDAY(A595,3))</f>
        <v/>
      </c>
    </row>
    <row r="596" customFormat="false" ht="1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 t="str">
        <f aca="false">IFERROR(G596/F596,"")</f>
        <v/>
      </c>
      <c r="K596" s="16" t="str">
        <f aca="false">IFERROR(E596/G596,"")</f>
        <v/>
      </c>
      <c r="L596" s="16" t="str">
        <f aca="false">IFERROR(E596/H596,"")</f>
        <v/>
      </c>
      <c r="M596" s="16" t="str">
        <f aca="false">IFERROR(I596/E596,"")</f>
        <v/>
      </c>
      <c r="N596" s="16" t="str">
        <f aca="false">IF(A596="","",A596-WEEKDAY(A596,3))</f>
        <v/>
      </c>
    </row>
    <row r="597" customFormat="false" ht="1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 t="str">
        <f aca="false">IFERROR(G597/F597,"")</f>
        <v/>
      </c>
      <c r="K597" s="16" t="str">
        <f aca="false">IFERROR(E597/G597,"")</f>
        <v/>
      </c>
      <c r="L597" s="16" t="str">
        <f aca="false">IFERROR(E597/H597,"")</f>
        <v/>
      </c>
      <c r="M597" s="16" t="str">
        <f aca="false">IFERROR(I597/E597,"")</f>
        <v/>
      </c>
      <c r="N597" s="16" t="str">
        <f aca="false">IF(A597="","",A597-WEEKDAY(A597,3))</f>
        <v/>
      </c>
    </row>
    <row r="598" customFormat="false" ht="1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 t="str">
        <f aca="false">IFERROR(G598/F598,"")</f>
        <v/>
      </c>
      <c r="K598" s="16" t="str">
        <f aca="false">IFERROR(E598/G598,"")</f>
        <v/>
      </c>
      <c r="L598" s="16" t="str">
        <f aca="false">IFERROR(E598/H598,"")</f>
        <v/>
      </c>
      <c r="M598" s="16" t="str">
        <f aca="false">IFERROR(I598/E598,"")</f>
        <v/>
      </c>
      <c r="N598" s="16" t="str">
        <f aca="false">IF(A598="","",A598-WEEKDAY(A598,3))</f>
        <v/>
      </c>
    </row>
    <row r="599" customFormat="false" ht="1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 t="str">
        <f aca="false">IFERROR(G599/F599,"")</f>
        <v/>
      </c>
      <c r="K599" s="16" t="str">
        <f aca="false">IFERROR(E599/G599,"")</f>
        <v/>
      </c>
      <c r="L599" s="16" t="str">
        <f aca="false">IFERROR(E599/H599,"")</f>
        <v/>
      </c>
      <c r="M599" s="16" t="str">
        <f aca="false">IFERROR(I599/E599,"")</f>
        <v/>
      </c>
      <c r="N599" s="16" t="str">
        <f aca="false">IF(A599="","",A599-WEEKDAY(A599,3))</f>
        <v/>
      </c>
    </row>
    <row r="600" customFormat="false" ht="1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 t="str">
        <f aca="false">IFERROR(G600/F600,"")</f>
        <v/>
      </c>
      <c r="K600" s="16" t="str">
        <f aca="false">IFERROR(E600/G600,"")</f>
        <v/>
      </c>
      <c r="L600" s="16" t="str">
        <f aca="false">IFERROR(E600/H600,"")</f>
        <v/>
      </c>
      <c r="M600" s="16" t="str">
        <f aca="false">IFERROR(I600/E600,"")</f>
        <v/>
      </c>
      <c r="N600" s="16" t="str">
        <f aca="false">IF(A600="","",A600-WEEKDAY(A600,3))</f>
        <v/>
      </c>
    </row>
    <row r="601" customFormat="false" ht="1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 t="str">
        <f aca="false">IFERROR(G601/F601,"")</f>
        <v/>
      </c>
      <c r="K601" s="16" t="str">
        <f aca="false">IFERROR(E601/G601,"")</f>
        <v/>
      </c>
      <c r="L601" s="16" t="str">
        <f aca="false">IFERROR(E601/H601,"")</f>
        <v/>
      </c>
      <c r="M601" s="16" t="str">
        <f aca="false">IFERROR(I601/E601,"")</f>
        <v/>
      </c>
      <c r="N601" s="16" t="str">
        <f aca="false">IF(A601="","",A601-WEEKDAY(A601,3))</f>
        <v/>
      </c>
    </row>
    <row r="602" customFormat="false" ht="1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 t="str">
        <f aca="false">IFERROR(G602/F602,"")</f>
        <v/>
      </c>
      <c r="K602" s="16" t="str">
        <f aca="false">IFERROR(E602/G602,"")</f>
        <v/>
      </c>
      <c r="L602" s="16" t="str">
        <f aca="false">IFERROR(E602/H602,"")</f>
        <v/>
      </c>
      <c r="M602" s="16" t="str">
        <f aca="false">IFERROR(I602/E602,"")</f>
        <v/>
      </c>
      <c r="N602" s="16" t="str">
        <f aca="false">IF(A602="","",A602-WEEKDAY(A602,3))</f>
        <v/>
      </c>
    </row>
    <row r="603" customFormat="false" ht="1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 t="str">
        <f aca="false">IFERROR(G603/F603,"")</f>
        <v/>
      </c>
      <c r="K603" s="16" t="str">
        <f aca="false">IFERROR(E603/G603,"")</f>
        <v/>
      </c>
      <c r="L603" s="16" t="str">
        <f aca="false">IFERROR(E603/H603,"")</f>
        <v/>
      </c>
      <c r="M603" s="16" t="str">
        <f aca="false">IFERROR(I603/E603,"")</f>
        <v/>
      </c>
      <c r="N603" s="16" t="str">
        <f aca="false">IF(A603="","",A603-WEEKDAY(A603,3))</f>
        <v/>
      </c>
    </row>
    <row r="604" customFormat="false" ht="1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 t="str">
        <f aca="false">IFERROR(G604/F604,"")</f>
        <v/>
      </c>
      <c r="K604" s="16" t="str">
        <f aca="false">IFERROR(E604/G604,"")</f>
        <v/>
      </c>
      <c r="L604" s="16" t="str">
        <f aca="false">IFERROR(E604/H604,"")</f>
        <v/>
      </c>
      <c r="M604" s="16" t="str">
        <f aca="false">IFERROR(I604/E604,"")</f>
        <v/>
      </c>
      <c r="N604" s="16" t="str">
        <f aca="false">IF(A604="","",A604-WEEKDAY(A604,3))</f>
        <v/>
      </c>
    </row>
    <row r="605" customFormat="false" ht="1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 t="str">
        <f aca="false">IFERROR(G605/F605,"")</f>
        <v/>
      </c>
      <c r="K605" s="16" t="str">
        <f aca="false">IFERROR(E605/G605,"")</f>
        <v/>
      </c>
      <c r="L605" s="16" t="str">
        <f aca="false">IFERROR(E605/H605,"")</f>
        <v/>
      </c>
      <c r="M605" s="16" t="str">
        <f aca="false">IFERROR(I605/E605,"")</f>
        <v/>
      </c>
      <c r="N605" s="16" t="str">
        <f aca="false">IF(A605="","",A605-WEEKDAY(A605,3))</f>
        <v/>
      </c>
    </row>
    <row r="606" customFormat="false" ht="1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 t="str">
        <f aca="false">IFERROR(G606/F606,"")</f>
        <v/>
      </c>
      <c r="K606" s="16" t="str">
        <f aca="false">IFERROR(E606/G606,"")</f>
        <v/>
      </c>
      <c r="L606" s="16" t="str">
        <f aca="false">IFERROR(E606/H606,"")</f>
        <v/>
      </c>
      <c r="M606" s="16" t="str">
        <f aca="false">IFERROR(I606/E606,"")</f>
        <v/>
      </c>
      <c r="N606" s="16" t="str">
        <f aca="false">IF(A606="","",A606-WEEKDAY(A606,3))</f>
        <v/>
      </c>
    </row>
    <row r="607" customFormat="false" ht="1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 t="str">
        <f aca="false">IFERROR(G607/F607,"")</f>
        <v/>
      </c>
      <c r="K607" s="16" t="str">
        <f aca="false">IFERROR(E607/G607,"")</f>
        <v/>
      </c>
      <c r="L607" s="16" t="str">
        <f aca="false">IFERROR(E607/H607,"")</f>
        <v/>
      </c>
      <c r="M607" s="16" t="str">
        <f aca="false">IFERROR(I607/E607,"")</f>
        <v/>
      </c>
      <c r="N607" s="16" t="str">
        <f aca="false">IF(A607="","",A607-WEEKDAY(A607,3))</f>
        <v/>
      </c>
    </row>
    <row r="608" customFormat="false" ht="1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 t="str">
        <f aca="false">IFERROR(G608/F608,"")</f>
        <v/>
      </c>
      <c r="K608" s="16" t="str">
        <f aca="false">IFERROR(E608/G608,"")</f>
        <v/>
      </c>
      <c r="L608" s="16" t="str">
        <f aca="false">IFERROR(E608/H608,"")</f>
        <v/>
      </c>
      <c r="M608" s="16" t="str">
        <f aca="false">IFERROR(I608/E608,"")</f>
        <v/>
      </c>
      <c r="N608" s="16" t="str">
        <f aca="false">IF(A608="","",A608-WEEKDAY(A608,3))</f>
        <v/>
      </c>
    </row>
    <row r="609" customFormat="false" ht="1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 t="str">
        <f aca="false">IFERROR(G609/F609,"")</f>
        <v/>
      </c>
      <c r="K609" s="16" t="str">
        <f aca="false">IFERROR(E609/G609,"")</f>
        <v/>
      </c>
      <c r="L609" s="16" t="str">
        <f aca="false">IFERROR(E609/H609,"")</f>
        <v/>
      </c>
      <c r="M609" s="16" t="str">
        <f aca="false">IFERROR(I609/E609,"")</f>
        <v/>
      </c>
      <c r="N609" s="16" t="str">
        <f aca="false">IF(A609="","",A609-WEEKDAY(A609,3))</f>
        <v/>
      </c>
    </row>
    <row r="610" customFormat="false" ht="1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 t="str">
        <f aca="false">IFERROR(G610/F610,"")</f>
        <v/>
      </c>
      <c r="K610" s="16" t="str">
        <f aca="false">IFERROR(E610/G610,"")</f>
        <v/>
      </c>
      <c r="L610" s="16" t="str">
        <f aca="false">IFERROR(E610/H610,"")</f>
        <v/>
      </c>
      <c r="M610" s="16" t="str">
        <f aca="false">IFERROR(I610/E610,"")</f>
        <v/>
      </c>
      <c r="N610" s="16" t="str">
        <f aca="false">IF(A610="","",A610-WEEKDAY(A610,3))</f>
        <v/>
      </c>
    </row>
    <row r="611" customFormat="false" ht="1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 t="str">
        <f aca="false">IFERROR(G611/F611,"")</f>
        <v/>
      </c>
      <c r="K611" s="16" t="str">
        <f aca="false">IFERROR(E611/G611,"")</f>
        <v/>
      </c>
      <c r="L611" s="16" t="str">
        <f aca="false">IFERROR(E611/H611,"")</f>
        <v/>
      </c>
      <c r="M611" s="16" t="str">
        <f aca="false">IFERROR(I611/E611,"")</f>
        <v/>
      </c>
      <c r="N611" s="16" t="str">
        <f aca="false">IF(A611="","",A611-WEEKDAY(A611,3))</f>
        <v/>
      </c>
    </row>
    <row r="612" customFormat="false" ht="1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 t="str">
        <f aca="false">IFERROR(G612/F612,"")</f>
        <v/>
      </c>
      <c r="K612" s="16" t="str">
        <f aca="false">IFERROR(E612/G612,"")</f>
        <v/>
      </c>
      <c r="L612" s="16" t="str">
        <f aca="false">IFERROR(E612/H612,"")</f>
        <v/>
      </c>
      <c r="M612" s="16" t="str">
        <f aca="false">IFERROR(I612/E612,"")</f>
        <v/>
      </c>
      <c r="N612" s="16" t="str">
        <f aca="false">IF(A612="","",A612-WEEKDAY(A612,3))</f>
        <v/>
      </c>
    </row>
    <row r="613" customFormat="false" ht="1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 t="str">
        <f aca="false">IFERROR(G613/F613,"")</f>
        <v/>
      </c>
      <c r="K613" s="16" t="str">
        <f aca="false">IFERROR(E613/G613,"")</f>
        <v/>
      </c>
      <c r="L613" s="16" t="str">
        <f aca="false">IFERROR(E613/H613,"")</f>
        <v/>
      </c>
      <c r="M613" s="16" t="str">
        <f aca="false">IFERROR(I613/E613,"")</f>
        <v/>
      </c>
      <c r="N613" s="16" t="str">
        <f aca="false">IF(A613="","",A613-WEEKDAY(A613,3))</f>
        <v/>
      </c>
    </row>
    <row r="614" customFormat="false" ht="1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 t="str">
        <f aca="false">IFERROR(G614/F614,"")</f>
        <v/>
      </c>
      <c r="K614" s="16" t="str">
        <f aca="false">IFERROR(E614/G614,"")</f>
        <v/>
      </c>
      <c r="L614" s="16" t="str">
        <f aca="false">IFERROR(E614/H614,"")</f>
        <v/>
      </c>
      <c r="M614" s="16" t="str">
        <f aca="false">IFERROR(I614/E614,"")</f>
        <v/>
      </c>
      <c r="N614" s="16" t="str">
        <f aca="false">IF(A614="","",A614-WEEKDAY(A614,3))</f>
        <v/>
      </c>
    </row>
    <row r="615" customFormat="false" ht="1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 t="str">
        <f aca="false">IFERROR(G615/F615,"")</f>
        <v/>
      </c>
      <c r="K615" s="16" t="str">
        <f aca="false">IFERROR(E615/G615,"")</f>
        <v/>
      </c>
      <c r="L615" s="16" t="str">
        <f aca="false">IFERROR(E615/H615,"")</f>
        <v/>
      </c>
      <c r="M615" s="16" t="str">
        <f aca="false">IFERROR(I615/E615,"")</f>
        <v/>
      </c>
      <c r="N615" s="16" t="str">
        <f aca="false">IF(A615="","",A615-WEEKDAY(A615,3))</f>
        <v/>
      </c>
    </row>
    <row r="616" customFormat="false" ht="1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 t="str">
        <f aca="false">IFERROR(G616/F616,"")</f>
        <v/>
      </c>
      <c r="K616" s="16" t="str">
        <f aca="false">IFERROR(E616/G616,"")</f>
        <v/>
      </c>
      <c r="L616" s="16" t="str">
        <f aca="false">IFERROR(E616/H616,"")</f>
        <v/>
      </c>
      <c r="M616" s="16" t="str">
        <f aca="false">IFERROR(I616/E616,"")</f>
        <v/>
      </c>
      <c r="N616" s="16" t="str">
        <f aca="false">IF(A616="","",A616-WEEKDAY(A616,3))</f>
        <v/>
      </c>
    </row>
    <row r="617" customFormat="false" ht="1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 t="str">
        <f aca="false">IFERROR(G617/F617,"")</f>
        <v/>
      </c>
      <c r="K617" s="16" t="str">
        <f aca="false">IFERROR(E617/G617,"")</f>
        <v/>
      </c>
      <c r="L617" s="16" t="str">
        <f aca="false">IFERROR(E617/H617,"")</f>
        <v/>
      </c>
      <c r="M617" s="16" t="str">
        <f aca="false">IFERROR(I617/E617,"")</f>
        <v/>
      </c>
      <c r="N617" s="16" t="str">
        <f aca="false">IF(A617="","",A617-WEEKDAY(A617,3))</f>
        <v/>
      </c>
    </row>
    <row r="618" customFormat="false" ht="1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 t="str">
        <f aca="false">IFERROR(G618/F618,"")</f>
        <v/>
      </c>
      <c r="K618" s="16" t="str">
        <f aca="false">IFERROR(E618/G618,"")</f>
        <v/>
      </c>
      <c r="L618" s="16" t="str">
        <f aca="false">IFERROR(E618/H618,"")</f>
        <v/>
      </c>
      <c r="M618" s="16" t="str">
        <f aca="false">IFERROR(I618/E618,"")</f>
        <v/>
      </c>
      <c r="N618" s="16" t="str">
        <f aca="false">IF(A618="","",A618-WEEKDAY(A618,3))</f>
        <v/>
      </c>
    </row>
    <row r="619" customFormat="false" ht="1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 t="str">
        <f aca="false">IFERROR(G619/F619,"")</f>
        <v/>
      </c>
      <c r="K619" s="16" t="str">
        <f aca="false">IFERROR(E619/G619,"")</f>
        <v/>
      </c>
      <c r="L619" s="16" t="str">
        <f aca="false">IFERROR(E619/H619,"")</f>
        <v/>
      </c>
      <c r="M619" s="16" t="str">
        <f aca="false">IFERROR(I619/E619,"")</f>
        <v/>
      </c>
      <c r="N619" s="16" t="str">
        <f aca="false">IF(A619="","",A619-WEEKDAY(A619,3))</f>
        <v/>
      </c>
    </row>
    <row r="620" customFormat="false" ht="1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 t="str">
        <f aca="false">IFERROR(G620/F620,"")</f>
        <v/>
      </c>
      <c r="K620" s="16" t="str">
        <f aca="false">IFERROR(E620/G620,"")</f>
        <v/>
      </c>
      <c r="L620" s="16" t="str">
        <f aca="false">IFERROR(E620/H620,"")</f>
        <v/>
      </c>
      <c r="M620" s="16" t="str">
        <f aca="false">IFERROR(I620/E620,"")</f>
        <v/>
      </c>
      <c r="N620" s="16" t="str">
        <f aca="false">IF(A620="","",A620-WEEKDAY(A620,3))</f>
        <v/>
      </c>
    </row>
    <row r="621" customFormat="false" ht="1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 t="str">
        <f aca="false">IFERROR(G621/F621,"")</f>
        <v/>
      </c>
      <c r="K621" s="16" t="str">
        <f aca="false">IFERROR(E621/G621,"")</f>
        <v/>
      </c>
      <c r="L621" s="16" t="str">
        <f aca="false">IFERROR(E621/H621,"")</f>
        <v/>
      </c>
      <c r="M621" s="16" t="str">
        <f aca="false">IFERROR(I621/E621,"")</f>
        <v/>
      </c>
      <c r="N621" s="16" t="str">
        <f aca="false">IF(A621="","",A621-WEEKDAY(A621,3))</f>
        <v/>
      </c>
    </row>
    <row r="622" customFormat="false" ht="1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 t="str">
        <f aca="false">IFERROR(G622/F622,"")</f>
        <v/>
      </c>
      <c r="K622" s="16" t="str">
        <f aca="false">IFERROR(E622/G622,"")</f>
        <v/>
      </c>
      <c r="L622" s="16" t="str">
        <f aca="false">IFERROR(E622/H622,"")</f>
        <v/>
      </c>
      <c r="M622" s="16" t="str">
        <f aca="false">IFERROR(I622/E622,"")</f>
        <v/>
      </c>
      <c r="N622" s="16" t="str">
        <f aca="false">IF(A622="","",A622-WEEKDAY(A622,3))</f>
        <v/>
      </c>
    </row>
    <row r="623" customFormat="false" ht="1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 t="str">
        <f aca="false">IFERROR(G623/F623,"")</f>
        <v/>
      </c>
      <c r="K623" s="16" t="str">
        <f aca="false">IFERROR(E623/G623,"")</f>
        <v/>
      </c>
      <c r="L623" s="16" t="str">
        <f aca="false">IFERROR(E623/H623,"")</f>
        <v/>
      </c>
      <c r="M623" s="16" t="str">
        <f aca="false">IFERROR(I623/E623,"")</f>
        <v/>
      </c>
      <c r="N623" s="16" t="str">
        <f aca="false">IF(A623="","",A623-WEEKDAY(A623,3))</f>
        <v/>
      </c>
    </row>
    <row r="624" customFormat="false" ht="1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 t="str">
        <f aca="false">IFERROR(G624/F624,"")</f>
        <v/>
      </c>
      <c r="K624" s="16" t="str">
        <f aca="false">IFERROR(E624/G624,"")</f>
        <v/>
      </c>
      <c r="L624" s="16" t="str">
        <f aca="false">IFERROR(E624/H624,"")</f>
        <v/>
      </c>
      <c r="M624" s="16" t="str">
        <f aca="false">IFERROR(I624/E624,"")</f>
        <v/>
      </c>
      <c r="N624" s="16" t="str">
        <f aca="false">IF(A624="","",A624-WEEKDAY(A624,3))</f>
        <v/>
      </c>
    </row>
    <row r="625" customFormat="false" ht="1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 t="str">
        <f aca="false">IFERROR(G625/F625,"")</f>
        <v/>
      </c>
      <c r="K625" s="16" t="str">
        <f aca="false">IFERROR(E625/G625,"")</f>
        <v/>
      </c>
      <c r="L625" s="16" t="str">
        <f aca="false">IFERROR(E625/H625,"")</f>
        <v/>
      </c>
      <c r="M625" s="16" t="str">
        <f aca="false">IFERROR(I625/E625,"")</f>
        <v/>
      </c>
      <c r="N625" s="16" t="str">
        <f aca="false">IF(A625="","",A625-WEEKDAY(A625,3))</f>
        <v/>
      </c>
    </row>
    <row r="626" customFormat="false" ht="1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 t="str">
        <f aca="false">IFERROR(G626/F626,"")</f>
        <v/>
      </c>
      <c r="K626" s="16" t="str">
        <f aca="false">IFERROR(E626/G626,"")</f>
        <v/>
      </c>
      <c r="L626" s="16" t="str">
        <f aca="false">IFERROR(E626/H626,"")</f>
        <v/>
      </c>
      <c r="M626" s="16" t="str">
        <f aca="false">IFERROR(I626/E626,"")</f>
        <v/>
      </c>
      <c r="N626" s="16" t="str">
        <f aca="false">IF(A626="","",A626-WEEKDAY(A626,3))</f>
        <v/>
      </c>
    </row>
    <row r="627" customFormat="false" ht="1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 t="str">
        <f aca="false">IFERROR(G627/F627,"")</f>
        <v/>
      </c>
      <c r="K627" s="16" t="str">
        <f aca="false">IFERROR(E627/G627,"")</f>
        <v/>
      </c>
      <c r="L627" s="16" t="str">
        <f aca="false">IFERROR(E627/H627,"")</f>
        <v/>
      </c>
      <c r="M627" s="16" t="str">
        <f aca="false">IFERROR(I627/E627,"")</f>
        <v/>
      </c>
      <c r="N627" s="16" t="str">
        <f aca="false">IF(A627="","",A627-WEEKDAY(A627,3))</f>
        <v/>
      </c>
    </row>
    <row r="628" customFormat="false" ht="1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 t="str">
        <f aca="false">IFERROR(G628/F628,"")</f>
        <v/>
      </c>
      <c r="K628" s="16" t="str">
        <f aca="false">IFERROR(E628/G628,"")</f>
        <v/>
      </c>
      <c r="L628" s="16" t="str">
        <f aca="false">IFERROR(E628/H628,"")</f>
        <v/>
      </c>
      <c r="M628" s="16" t="str">
        <f aca="false">IFERROR(I628/E628,"")</f>
        <v/>
      </c>
      <c r="N628" s="16" t="str">
        <f aca="false">IF(A628="","",A628-WEEKDAY(A628,3))</f>
        <v/>
      </c>
    </row>
    <row r="629" customFormat="false" ht="1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 t="str">
        <f aca="false">IFERROR(G629/F629,"")</f>
        <v/>
      </c>
      <c r="K629" s="16" t="str">
        <f aca="false">IFERROR(E629/G629,"")</f>
        <v/>
      </c>
      <c r="L629" s="16" t="str">
        <f aca="false">IFERROR(E629/H629,"")</f>
        <v/>
      </c>
      <c r="M629" s="16" t="str">
        <f aca="false">IFERROR(I629/E629,"")</f>
        <v/>
      </c>
      <c r="N629" s="16" t="str">
        <f aca="false">IF(A629="","",A629-WEEKDAY(A629,3))</f>
        <v/>
      </c>
    </row>
    <row r="630" customFormat="false" ht="1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 t="str">
        <f aca="false">IFERROR(G630/F630,"")</f>
        <v/>
      </c>
      <c r="K630" s="16" t="str">
        <f aca="false">IFERROR(E630/G630,"")</f>
        <v/>
      </c>
      <c r="L630" s="16" t="str">
        <f aca="false">IFERROR(E630/H630,"")</f>
        <v/>
      </c>
      <c r="M630" s="16" t="str">
        <f aca="false">IFERROR(I630/E630,"")</f>
        <v/>
      </c>
      <c r="N630" s="16" t="str">
        <f aca="false">IF(A630="","",A630-WEEKDAY(A630,3))</f>
        <v/>
      </c>
    </row>
    <row r="631" customFormat="false" ht="1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 t="str">
        <f aca="false">IFERROR(G631/F631,"")</f>
        <v/>
      </c>
      <c r="K631" s="16" t="str">
        <f aca="false">IFERROR(E631/G631,"")</f>
        <v/>
      </c>
      <c r="L631" s="16" t="str">
        <f aca="false">IFERROR(E631/H631,"")</f>
        <v/>
      </c>
      <c r="M631" s="16" t="str">
        <f aca="false">IFERROR(I631/E631,"")</f>
        <v/>
      </c>
      <c r="N631" s="16" t="str">
        <f aca="false">IF(A631="","",A631-WEEKDAY(A631,3))</f>
        <v/>
      </c>
    </row>
    <row r="632" customFormat="false" ht="1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 t="str">
        <f aca="false">IFERROR(G632/F632,"")</f>
        <v/>
      </c>
      <c r="K632" s="16" t="str">
        <f aca="false">IFERROR(E632/G632,"")</f>
        <v/>
      </c>
      <c r="L632" s="16" t="str">
        <f aca="false">IFERROR(E632/H632,"")</f>
        <v/>
      </c>
      <c r="M632" s="16" t="str">
        <f aca="false">IFERROR(I632/E632,"")</f>
        <v/>
      </c>
      <c r="N632" s="16" t="str">
        <f aca="false">IF(A632="","",A632-WEEKDAY(A632,3))</f>
        <v/>
      </c>
    </row>
    <row r="633" customFormat="false" ht="1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 t="str">
        <f aca="false">IFERROR(G633/F633,"")</f>
        <v/>
      </c>
      <c r="K633" s="16" t="str">
        <f aca="false">IFERROR(E633/G633,"")</f>
        <v/>
      </c>
      <c r="L633" s="16" t="str">
        <f aca="false">IFERROR(E633/H633,"")</f>
        <v/>
      </c>
      <c r="M633" s="16" t="str">
        <f aca="false">IFERROR(I633/E633,"")</f>
        <v/>
      </c>
      <c r="N633" s="16" t="str">
        <f aca="false">IF(A633="","",A633-WEEKDAY(A633,3))</f>
        <v/>
      </c>
    </row>
    <row r="634" customFormat="false" ht="1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 t="str">
        <f aca="false">IFERROR(G634/F634,"")</f>
        <v/>
      </c>
      <c r="K634" s="16" t="str">
        <f aca="false">IFERROR(E634/G634,"")</f>
        <v/>
      </c>
      <c r="L634" s="16" t="str">
        <f aca="false">IFERROR(E634/H634,"")</f>
        <v/>
      </c>
      <c r="M634" s="16" t="str">
        <f aca="false">IFERROR(I634/E634,"")</f>
        <v/>
      </c>
      <c r="N634" s="16" t="str">
        <f aca="false">IF(A634="","",A634-WEEKDAY(A634,3))</f>
        <v/>
      </c>
    </row>
    <row r="635" customFormat="false" ht="1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 t="str">
        <f aca="false">IFERROR(G635/F635,"")</f>
        <v/>
      </c>
      <c r="K635" s="16" t="str">
        <f aca="false">IFERROR(E635/G635,"")</f>
        <v/>
      </c>
      <c r="L635" s="16" t="str">
        <f aca="false">IFERROR(E635/H635,"")</f>
        <v/>
      </c>
      <c r="M635" s="16" t="str">
        <f aca="false">IFERROR(I635/E635,"")</f>
        <v/>
      </c>
      <c r="N635" s="16" t="str">
        <f aca="false">IF(A635="","",A635-WEEKDAY(A635,3))</f>
        <v/>
      </c>
    </row>
    <row r="636" customFormat="false" ht="1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 t="str">
        <f aca="false">IFERROR(G636/F636,"")</f>
        <v/>
      </c>
      <c r="K636" s="16" t="str">
        <f aca="false">IFERROR(E636/G636,"")</f>
        <v/>
      </c>
      <c r="L636" s="16" t="str">
        <f aca="false">IFERROR(E636/H636,"")</f>
        <v/>
      </c>
      <c r="M636" s="16" t="str">
        <f aca="false">IFERROR(I636/E636,"")</f>
        <v/>
      </c>
      <c r="N636" s="16" t="str">
        <f aca="false">IF(A636="","",A636-WEEKDAY(A636,3))</f>
        <v/>
      </c>
    </row>
    <row r="637" customFormat="false" ht="1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 t="str">
        <f aca="false">IFERROR(G637/F637,"")</f>
        <v/>
      </c>
      <c r="K637" s="16" t="str">
        <f aca="false">IFERROR(E637/G637,"")</f>
        <v/>
      </c>
      <c r="L637" s="16" t="str">
        <f aca="false">IFERROR(E637/H637,"")</f>
        <v/>
      </c>
      <c r="M637" s="16" t="str">
        <f aca="false">IFERROR(I637/E637,"")</f>
        <v/>
      </c>
      <c r="N637" s="16" t="str">
        <f aca="false">IF(A637="","",A637-WEEKDAY(A637,3))</f>
        <v/>
      </c>
    </row>
    <row r="638" customFormat="false" ht="1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 t="str">
        <f aca="false">IFERROR(G638/F638,"")</f>
        <v/>
      </c>
      <c r="K638" s="16" t="str">
        <f aca="false">IFERROR(E638/G638,"")</f>
        <v/>
      </c>
      <c r="L638" s="16" t="str">
        <f aca="false">IFERROR(E638/H638,"")</f>
        <v/>
      </c>
      <c r="M638" s="16" t="str">
        <f aca="false">IFERROR(I638/E638,"")</f>
        <v/>
      </c>
      <c r="N638" s="16" t="str">
        <f aca="false">IF(A638="","",A638-WEEKDAY(A638,3))</f>
        <v/>
      </c>
    </row>
    <row r="639" customFormat="false" ht="1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 t="str">
        <f aca="false">IFERROR(G639/F639,"")</f>
        <v/>
      </c>
      <c r="K639" s="16" t="str">
        <f aca="false">IFERROR(E639/G639,"")</f>
        <v/>
      </c>
      <c r="L639" s="16" t="str">
        <f aca="false">IFERROR(E639/H639,"")</f>
        <v/>
      </c>
      <c r="M639" s="16" t="str">
        <f aca="false">IFERROR(I639/E639,"")</f>
        <v/>
      </c>
      <c r="N639" s="16" t="str">
        <f aca="false">IF(A639="","",A639-WEEKDAY(A639,3))</f>
        <v/>
      </c>
    </row>
    <row r="640" customFormat="false" ht="1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 t="str">
        <f aca="false">IFERROR(G640/F640,"")</f>
        <v/>
      </c>
      <c r="K640" s="16" t="str">
        <f aca="false">IFERROR(E640/G640,"")</f>
        <v/>
      </c>
      <c r="L640" s="16" t="str">
        <f aca="false">IFERROR(E640/H640,"")</f>
        <v/>
      </c>
      <c r="M640" s="16" t="str">
        <f aca="false">IFERROR(I640/E640,"")</f>
        <v/>
      </c>
      <c r="N640" s="16" t="str">
        <f aca="false">IF(A640="","",A640-WEEKDAY(A640,3))</f>
        <v/>
      </c>
    </row>
    <row r="641" customFormat="false" ht="1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 t="str">
        <f aca="false">IFERROR(G641/F641,"")</f>
        <v/>
      </c>
      <c r="K641" s="16" t="str">
        <f aca="false">IFERROR(E641/G641,"")</f>
        <v/>
      </c>
      <c r="L641" s="16" t="str">
        <f aca="false">IFERROR(E641/H641,"")</f>
        <v/>
      </c>
      <c r="M641" s="16" t="str">
        <f aca="false">IFERROR(I641/E641,"")</f>
        <v/>
      </c>
      <c r="N641" s="16" t="str">
        <f aca="false">IF(A641="","",A641-WEEKDAY(A641,3))</f>
        <v/>
      </c>
    </row>
  </sheetData>
  <dataValidations count="1">
    <dataValidation allowBlank="true" errorStyle="stop" operator="between" showDropDown="false" showErrorMessage="false" showInputMessage="false" sqref="B2:B1641" type="list">
      <formula1>"Meta,Google"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31.5" hidden="false" customHeight="true" outlineLevel="0" collapsed="false">
      <c r="A1" s="7" t="s">
        <v>11</v>
      </c>
      <c r="B1" s="7" t="s">
        <v>34</v>
      </c>
      <c r="C1" s="7" t="s">
        <v>35</v>
      </c>
      <c r="D1" s="7" t="s">
        <v>36</v>
      </c>
      <c r="E1" s="7" t="s">
        <v>37</v>
      </c>
    </row>
    <row r="2" customFormat="false" ht="15" hidden="false" customHeight="false" outlineLevel="0" collapsed="false">
      <c r="A2" s="9" t="s">
        <v>24</v>
      </c>
      <c r="B2" s="9" t="s">
        <v>38</v>
      </c>
      <c r="C2" s="17" t="n">
        <v>450</v>
      </c>
      <c r="D2" s="9"/>
      <c r="E2" s="17" t="n">
        <v>28000</v>
      </c>
    </row>
    <row r="3" customFormat="false" ht="15" hidden="false" customHeight="false" outlineLevel="0" collapsed="false">
      <c r="A3" s="9" t="s">
        <v>28</v>
      </c>
      <c r="B3" s="9" t="s">
        <v>39</v>
      </c>
      <c r="C3" s="9"/>
      <c r="D3" s="18" t="n">
        <v>3.5</v>
      </c>
      <c r="E3" s="17" t="n">
        <v>35000</v>
      </c>
    </row>
    <row r="4" customFormat="false" ht="15" hidden="false" customHeight="false" outlineLevel="0" collapsed="false">
      <c r="A4" s="16"/>
      <c r="B4" s="16"/>
      <c r="C4" s="16"/>
      <c r="D4" s="16"/>
      <c r="E4" s="16"/>
    </row>
    <row r="5" customFormat="false" ht="15" hidden="false" customHeight="false" outlineLevel="0" collapsed="false">
      <c r="A5" s="16" t="s">
        <v>40</v>
      </c>
      <c r="B5" s="16"/>
      <c r="C5" s="16"/>
      <c r="D5" s="16"/>
      <c r="E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7" t="s">
        <v>10</v>
      </c>
      <c r="B1" s="7" t="s">
        <v>11</v>
      </c>
      <c r="C1" s="7" t="s">
        <v>12</v>
      </c>
      <c r="D1" s="7" t="s">
        <v>41</v>
      </c>
      <c r="E1" s="7" t="s">
        <v>42</v>
      </c>
    </row>
    <row r="2" customFormat="false" ht="15" hidden="false" customHeight="false" outlineLevel="0" collapsed="false">
      <c r="A2" s="8" t="n">
        <v>46272</v>
      </c>
      <c r="B2" s="9" t="s">
        <v>28</v>
      </c>
      <c r="C2" s="9" t="s">
        <v>33</v>
      </c>
      <c r="D2" s="9" t="s">
        <v>43</v>
      </c>
      <c r="E2" s="9" t="s">
        <v>44</v>
      </c>
    </row>
    <row r="3" customFormat="false" ht="15" hidden="false" customHeight="false" outlineLevel="0" collapsed="false">
      <c r="A3" s="8" t="n">
        <v>46279</v>
      </c>
      <c r="B3" s="9" t="s">
        <v>28</v>
      </c>
      <c r="C3" s="9" t="s">
        <v>31</v>
      </c>
      <c r="D3" s="9" t="s">
        <v>45</v>
      </c>
      <c r="E3" s="9" t="s">
        <v>46</v>
      </c>
    </row>
    <row r="4" customFormat="false" ht="15" hidden="false" customHeight="false" outlineLevel="0" collapsed="false">
      <c r="A4" s="8" t="n">
        <v>46279</v>
      </c>
      <c r="B4" s="9" t="s">
        <v>24</v>
      </c>
      <c r="C4" s="9" t="s">
        <v>25</v>
      </c>
      <c r="D4" s="9" t="s">
        <v>47</v>
      </c>
      <c r="E4" s="9" t="s">
        <v>48</v>
      </c>
    </row>
    <row r="5" customFormat="false" ht="15" hidden="false" customHeight="false" outlineLevel="0" collapsed="false">
      <c r="A5" s="8" t="n">
        <v>46282</v>
      </c>
      <c r="B5" s="9" t="s">
        <v>24</v>
      </c>
      <c r="C5" s="9" t="s">
        <v>49</v>
      </c>
      <c r="D5" s="9" t="s">
        <v>50</v>
      </c>
      <c r="E5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31.5" hidden="false" customHeight="true" outlineLevel="0" collapsed="false">
      <c r="A1" s="7" t="s">
        <v>23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</row>
    <row r="2" customFormat="false" ht="15" hidden="false" customHeight="false" outlineLevel="0" collapsed="false">
      <c r="A2" s="19" t="n">
        <f aca="false">IF(MIN('Daily Data'!$A$2:$A$2000)=0,"",IF((MIN('Daily Data'!$A$2:$A$2000)-WEEKDAY(MIN('Daily Data'!$A$2:$A$2000),3)+7*0)&gt;MAX('Daily Data'!$A$2:$A$2000),"",(MIN('Daily Data'!$A$2:$A$2000)-WEEKDAY(MIN('Daily Data'!$A$2:$A$2000),3)+7*0)))</f>
        <v>46258</v>
      </c>
      <c r="B2" s="20" t="n">
        <f aca="false">IF(A2="","",SUMIFS('Daily Data'!$E$2:$E$2000,'Daily Data'!$N$2:$N$2000,A2))</f>
        <v>62253</v>
      </c>
      <c r="C2" s="21" t="n">
        <f aca="false">IF(A2="","",SUMIFS('Daily Data'!$H$2:$H$2000,'Daily Data'!$N$2:$N$2000,A2))</f>
        <v>206</v>
      </c>
      <c r="D2" s="20" t="n">
        <f aca="false">IF(A2="","",SUMIFS('Daily Data'!$I$2:$I$2000,'Daily Data'!$N$2:$N$2000,A2))</f>
        <v>244484</v>
      </c>
      <c r="E2" s="20" t="n">
        <f aca="false">IFERROR(B2/C2,"")</f>
        <v>302.199029126214</v>
      </c>
      <c r="F2" s="22" t="n">
        <f aca="false">IFERROR(D2/B2,"")</f>
        <v>3.92726454949962</v>
      </c>
      <c r="G2" s="23"/>
      <c r="H2" s="23"/>
      <c r="I2" s="23"/>
      <c r="J2" s="20" t="n">
        <f aca="false">IF(A2="","",SUMIFS('Daily Data'!$E$2:$E$2000,'Daily Data'!$N$2:$N$2000,A2,'Daily Data'!$B$2:$B$2000,"Meta"))</f>
        <v>27381</v>
      </c>
      <c r="K2" s="21" t="n">
        <f aca="false">IF(A2="","",SUMIFS('Daily Data'!$H$2:$H$2000,'Daily Data'!$N$2:$N$2000,A2,'Daily Data'!$B$2:$B$2000,"Meta"))</f>
        <v>71</v>
      </c>
      <c r="L2" s="20" t="n">
        <f aca="false">IFERROR(J2/K2,"")</f>
        <v>385.647887323944</v>
      </c>
      <c r="M2" s="20" t="n">
        <f aca="false">IF(A2="","",SUMIFS('Daily Data'!$E$2:$E$2000,'Daily Data'!$N$2:$N$2000,A2,'Daily Data'!$B$2:$B$2000,"Google"))</f>
        <v>34872</v>
      </c>
      <c r="N2" s="20" t="n">
        <f aca="false">IF(A2="","",SUMIFS('Daily Data'!$I$2:$I$2000,'Daily Data'!$N$2:$N$2000,A2,'Daily Data'!$B$2:$B$2000,"Google"))</f>
        <v>160444</v>
      </c>
      <c r="O2" s="22" t="n">
        <f aca="false">IFERROR(N2/M2,"")</f>
        <v>4.60094058270246</v>
      </c>
    </row>
    <row r="3" customFormat="false" ht="15" hidden="false" customHeight="false" outlineLevel="0" collapsed="false">
      <c r="A3" s="19" t="n">
        <f aca="false">IF(MIN('Daily Data'!$A$2:$A$2000)=0,"",IF((MIN('Daily Data'!$A$2:$A$2000)-WEEKDAY(MIN('Daily Data'!$A$2:$A$2000),3)+7*1)&gt;MAX('Daily Data'!$A$2:$A$2000),"",(MIN('Daily Data'!$A$2:$A$2000)-WEEKDAY(MIN('Daily Data'!$A$2:$A$2000),3)+7*1)))</f>
        <v>46265</v>
      </c>
      <c r="B3" s="20" t="n">
        <f aca="false">IF(A3="","",SUMIFS('Daily Data'!$E$2:$E$2000,'Daily Data'!$N$2:$N$2000,A3))</f>
        <v>62373</v>
      </c>
      <c r="C3" s="21" t="n">
        <f aca="false">IF(A3="","",SUMIFS('Daily Data'!$H$2:$H$2000,'Daily Data'!$N$2:$N$2000,A3))</f>
        <v>209</v>
      </c>
      <c r="D3" s="20" t="n">
        <f aca="false">IF(A3="","",SUMIFS('Daily Data'!$I$2:$I$2000,'Daily Data'!$N$2:$N$2000,A3))</f>
        <v>251621</v>
      </c>
      <c r="E3" s="20" t="n">
        <f aca="false">IFERROR(B3/C3,"")</f>
        <v>298.435406698565</v>
      </c>
      <c r="F3" s="22" t="n">
        <f aca="false">IFERROR(D3/B3,"")</f>
        <v>4.03413335898546</v>
      </c>
      <c r="G3" s="23" t="n">
        <f aca="false">IF(A3="","",IFERROR(B3/B2-1,""))</f>
        <v>0.00192761794612317</v>
      </c>
      <c r="H3" s="23" t="n">
        <f aca="false">IFERROR(E3/E2-1,"")</f>
        <v>-0.0124541181966443</v>
      </c>
      <c r="I3" s="23" t="n">
        <f aca="false">IFERROR(F3/F2-1,"")</f>
        <v>0.0272120220420222</v>
      </c>
      <c r="J3" s="20" t="n">
        <f aca="false">IF(A3="","",SUMIFS('Daily Data'!$E$2:$E$2000,'Daily Data'!$N$2:$N$2000,A3,'Daily Data'!$B$2:$B$2000,"Meta"))</f>
        <v>27614</v>
      </c>
      <c r="K3" s="21" t="n">
        <f aca="false">IF(A3="","",SUMIFS('Daily Data'!$H$2:$H$2000,'Daily Data'!$N$2:$N$2000,A3,'Daily Data'!$B$2:$B$2000,"Meta"))</f>
        <v>82</v>
      </c>
      <c r="L3" s="20" t="n">
        <f aca="false">IFERROR(J3/K3,"")</f>
        <v>336.756097560976</v>
      </c>
      <c r="M3" s="20" t="n">
        <f aca="false">IF(A3="","",SUMIFS('Daily Data'!$E$2:$E$2000,'Daily Data'!$N$2:$N$2000,A3,'Daily Data'!$B$2:$B$2000,"Google"))</f>
        <v>34759</v>
      </c>
      <c r="N3" s="20" t="n">
        <f aca="false">IF(A3="","",SUMIFS('Daily Data'!$I$2:$I$2000,'Daily Data'!$N$2:$N$2000,A3,'Daily Data'!$B$2:$B$2000,"Google"))</f>
        <v>152252</v>
      </c>
      <c r="O3" s="22" t="n">
        <f aca="false">IFERROR(N3/M3,"")</f>
        <v>4.38021807301706</v>
      </c>
    </row>
    <row r="4" customFormat="false" ht="15" hidden="false" customHeight="false" outlineLevel="0" collapsed="false">
      <c r="A4" s="19" t="n">
        <f aca="false">IF(MIN('Daily Data'!$A$2:$A$2000)=0,"",IF((MIN('Daily Data'!$A$2:$A$2000)-WEEKDAY(MIN('Daily Data'!$A$2:$A$2000),3)+7*2)&gt;MAX('Daily Data'!$A$2:$A$2000),"",(MIN('Daily Data'!$A$2:$A$2000)-WEEKDAY(MIN('Daily Data'!$A$2:$A$2000),3)+7*2)))</f>
        <v>46272</v>
      </c>
      <c r="B4" s="20" t="n">
        <f aca="false">IF(A4="","",SUMIFS('Daily Data'!$E$2:$E$2000,'Daily Data'!$N$2:$N$2000,A4))</f>
        <v>62517</v>
      </c>
      <c r="C4" s="21" t="n">
        <f aca="false">IF(A4="","",SUMIFS('Daily Data'!$H$2:$H$2000,'Daily Data'!$N$2:$N$2000,A4))</f>
        <v>200</v>
      </c>
      <c r="D4" s="20" t="n">
        <f aca="false">IF(A4="","",SUMIFS('Daily Data'!$I$2:$I$2000,'Daily Data'!$N$2:$N$2000,A4))</f>
        <v>240429</v>
      </c>
      <c r="E4" s="20" t="n">
        <f aca="false">IFERROR(B4/C4,"")</f>
        <v>312.585</v>
      </c>
      <c r="F4" s="22" t="n">
        <f aca="false">IFERROR(D4/B4,"")</f>
        <v>3.84581793752099</v>
      </c>
      <c r="G4" s="23" t="n">
        <f aca="false">IF(A4="","",IFERROR(B4/B3-1,""))</f>
        <v>0.00230869126064159</v>
      </c>
      <c r="H4" s="23" t="n">
        <f aca="false">IFERROR(E4/E3-1,"")</f>
        <v>0.0474125823673706</v>
      </c>
      <c r="I4" s="23" t="n">
        <f aca="false">IFERROR(F4/F3-1,"")</f>
        <v>-0.0466805146748603</v>
      </c>
      <c r="J4" s="20" t="n">
        <f aca="false">IF(A4="","",SUMIFS('Daily Data'!$E$2:$E$2000,'Daily Data'!$N$2:$N$2000,A4,'Daily Data'!$B$2:$B$2000,"Meta"))</f>
        <v>27719</v>
      </c>
      <c r="K4" s="21" t="n">
        <f aca="false">IF(A4="","",SUMIFS('Daily Data'!$H$2:$H$2000,'Daily Data'!$N$2:$N$2000,A4,'Daily Data'!$B$2:$B$2000,"Meta"))</f>
        <v>78</v>
      </c>
      <c r="L4" s="20" t="n">
        <f aca="false">IFERROR(J4/K4,"")</f>
        <v>355.371794871795</v>
      </c>
      <c r="M4" s="20" t="n">
        <f aca="false">IF(A4="","",SUMIFS('Daily Data'!$E$2:$E$2000,'Daily Data'!$N$2:$N$2000,A4,'Daily Data'!$B$2:$B$2000,"Google"))</f>
        <v>34798</v>
      </c>
      <c r="N4" s="20" t="n">
        <f aca="false">IF(A4="","",SUMIFS('Daily Data'!$I$2:$I$2000,'Daily Data'!$N$2:$N$2000,A4,'Daily Data'!$B$2:$B$2000,"Google"))</f>
        <v>148399</v>
      </c>
      <c r="O4" s="22" t="n">
        <f aca="false">IFERROR(N4/M4,"")</f>
        <v>4.26458417150411</v>
      </c>
    </row>
    <row r="5" customFormat="false" ht="15" hidden="false" customHeight="false" outlineLevel="0" collapsed="false">
      <c r="A5" s="19" t="n">
        <f aca="false">IF(MIN('Daily Data'!$A$2:$A$2000)=0,"",IF((MIN('Daily Data'!$A$2:$A$2000)-WEEKDAY(MIN('Daily Data'!$A$2:$A$2000),3)+7*3)&gt;MAX('Daily Data'!$A$2:$A$2000),"",(MIN('Daily Data'!$A$2:$A$2000)-WEEKDAY(MIN('Daily Data'!$A$2:$A$2000),3)+7*3)))</f>
        <v>46279</v>
      </c>
      <c r="B5" s="20" t="n">
        <f aca="false">IF(A5="","",SUMIFS('Daily Data'!$E$2:$E$2000,'Daily Data'!$N$2:$N$2000,A5))</f>
        <v>65826</v>
      </c>
      <c r="C5" s="21" t="n">
        <f aca="false">IF(A5="","",SUMIFS('Daily Data'!$H$2:$H$2000,'Daily Data'!$N$2:$N$2000,A5))</f>
        <v>191</v>
      </c>
      <c r="D5" s="20" t="n">
        <f aca="false">IF(A5="","",SUMIFS('Daily Data'!$I$2:$I$2000,'Daily Data'!$N$2:$N$2000,A5))</f>
        <v>228690</v>
      </c>
      <c r="E5" s="20" t="n">
        <f aca="false">IFERROR(B5/C5,"")</f>
        <v>344.638743455497</v>
      </c>
      <c r="F5" s="22" t="n">
        <f aca="false">IFERROR(D5/B5,"")</f>
        <v>3.47415914684167</v>
      </c>
      <c r="G5" s="23" t="n">
        <f aca="false">IF(A5="","",IFERROR(B5/B4-1,""))</f>
        <v>0.0529296031479438</v>
      </c>
      <c r="H5" s="23" t="n">
        <f aca="false">IFERROR(E5/E4-1,"")</f>
        <v>0.10254408706591</v>
      </c>
      <c r="I5" s="23" t="n">
        <f aca="false">IFERROR(F5/F4-1,"")</f>
        <v>-0.0966397257273419</v>
      </c>
      <c r="J5" s="20" t="n">
        <f aca="false">IF(A5="","",SUMIFS('Daily Data'!$E$2:$E$2000,'Daily Data'!$N$2:$N$2000,A5,'Daily Data'!$B$2:$B$2000,"Meta"))</f>
        <v>28573</v>
      </c>
      <c r="K5" s="21" t="n">
        <f aca="false">IF(A5="","",SUMIFS('Daily Data'!$H$2:$H$2000,'Daily Data'!$N$2:$N$2000,A5,'Daily Data'!$B$2:$B$2000,"Meta"))</f>
        <v>53</v>
      </c>
      <c r="L5" s="20" t="n">
        <f aca="false">IFERROR(J5/K5,"")</f>
        <v>539.11320754717</v>
      </c>
      <c r="M5" s="20" t="n">
        <f aca="false">IF(A5="","",SUMIFS('Daily Data'!$E$2:$E$2000,'Daily Data'!$N$2:$N$2000,A5,'Daily Data'!$B$2:$B$2000,"Google"))</f>
        <v>37253</v>
      </c>
      <c r="N5" s="20" t="n">
        <f aca="false">IF(A5="","",SUMIFS('Daily Data'!$I$2:$I$2000,'Daily Data'!$N$2:$N$2000,A5,'Daily Data'!$B$2:$B$2000,"Google"))</f>
        <v>163831</v>
      </c>
      <c r="O5" s="22" t="n">
        <f aca="false">IFERROR(N5/M5,"")</f>
        <v>4.39779346629802</v>
      </c>
    </row>
    <row r="6" customFormat="false" ht="15" hidden="false" customHeight="false" outlineLevel="0" collapsed="false">
      <c r="A6" s="19" t="str">
        <f aca="false">IF(MIN('Daily Data'!$A$2:$A$2000)=0,"",IF((MIN('Daily Data'!$A$2:$A$2000)-WEEKDAY(MIN('Daily Data'!$A$2:$A$2000),3)+7*4)&gt;MAX('Daily Data'!$A$2:$A$2000),"",(MIN('Daily Data'!$A$2:$A$2000)-WEEKDAY(MIN('Daily Data'!$A$2:$A$2000),3)+7*4)))</f>
        <v/>
      </c>
      <c r="B6" s="20" t="str">
        <f aca="false">IF(A6="","",SUMIFS('Daily Data'!$E$2:$E$2000,'Daily Data'!$N$2:$N$2000,A6))</f>
        <v/>
      </c>
      <c r="C6" s="21" t="str">
        <f aca="false">IF(A6="","",SUMIFS('Daily Data'!$H$2:$H$2000,'Daily Data'!$N$2:$N$2000,A6))</f>
        <v/>
      </c>
      <c r="D6" s="20" t="str">
        <f aca="false">IF(A6="","",SUMIFS('Daily Data'!$I$2:$I$2000,'Daily Data'!$N$2:$N$2000,A6))</f>
        <v/>
      </c>
      <c r="E6" s="20" t="str">
        <f aca="false">IFERROR(B6/C6,"")</f>
        <v/>
      </c>
      <c r="F6" s="22" t="str">
        <f aca="false">IFERROR(D6/B6,"")</f>
        <v/>
      </c>
      <c r="G6" s="23" t="str">
        <f aca="false">IF(A6="","",IFERROR(B6/B5-1,""))</f>
        <v/>
      </c>
      <c r="H6" s="23" t="str">
        <f aca="false">IFERROR(E6/E5-1,"")</f>
        <v/>
      </c>
      <c r="I6" s="23" t="str">
        <f aca="false">IFERROR(F6/F5-1,"")</f>
        <v/>
      </c>
      <c r="J6" s="20" t="str">
        <f aca="false">IF(A6="","",SUMIFS('Daily Data'!$E$2:$E$2000,'Daily Data'!$N$2:$N$2000,A6,'Daily Data'!$B$2:$B$2000,"Meta"))</f>
        <v/>
      </c>
      <c r="K6" s="21" t="str">
        <f aca="false">IF(A6="","",SUMIFS('Daily Data'!$H$2:$H$2000,'Daily Data'!$N$2:$N$2000,A6,'Daily Data'!$B$2:$B$2000,"Meta"))</f>
        <v/>
      </c>
      <c r="L6" s="20" t="str">
        <f aca="false">IFERROR(J6/K6,"")</f>
        <v/>
      </c>
      <c r="M6" s="20" t="str">
        <f aca="false">IF(A6="","",SUMIFS('Daily Data'!$E$2:$E$2000,'Daily Data'!$N$2:$N$2000,A6,'Daily Data'!$B$2:$B$2000,"Google"))</f>
        <v/>
      </c>
      <c r="N6" s="20" t="str">
        <f aca="false">IF(A6="","",SUMIFS('Daily Data'!$I$2:$I$2000,'Daily Data'!$N$2:$N$2000,A6,'Daily Data'!$B$2:$B$2000,"Google"))</f>
        <v/>
      </c>
      <c r="O6" s="22" t="str">
        <f aca="false">IFERROR(N6/M6,"")</f>
        <v/>
      </c>
    </row>
    <row r="7" customFormat="false" ht="15" hidden="false" customHeight="false" outlineLevel="0" collapsed="false">
      <c r="A7" s="19" t="str">
        <f aca="false">IF(MIN('Daily Data'!$A$2:$A$2000)=0,"",IF((MIN('Daily Data'!$A$2:$A$2000)-WEEKDAY(MIN('Daily Data'!$A$2:$A$2000),3)+7*5)&gt;MAX('Daily Data'!$A$2:$A$2000),"",(MIN('Daily Data'!$A$2:$A$2000)-WEEKDAY(MIN('Daily Data'!$A$2:$A$2000),3)+7*5)))</f>
        <v/>
      </c>
      <c r="B7" s="20" t="str">
        <f aca="false">IF(A7="","",SUMIFS('Daily Data'!$E$2:$E$2000,'Daily Data'!$N$2:$N$2000,A7))</f>
        <v/>
      </c>
      <c r="C7" s="21" t="str">
        <f aca="false">IF(A7="","",SUMIFS('Daily Data'!$H$2:$H$2000,'Daily Data'!$N$2:$N$2000,A7))</f>
        <v/>
      </c>
      <c r="D7" s="20" t="str">
        <f aca="false">IF(A7="","",SUMIFS('Daily Data'!$I$2:$I$2000,'Daily Data'!$N$2:$N$2000,A7))</f>
        <v/>
      </c>
      <c r="E7" s="20" t="str">
        <f aca="false">IFERROR(B7/C7,"")</f>
        <v/>
      </c>
      <c r="F7" s="22" t="str">
        <f aca="false">IFERROR(D7/B7,"")</f>
        <v/>
      </c>
      <c r="G7" s="23" t="str">
        <f aca="false">IF(A7="","",IFERROR(B7/B6-1,""))</f>
        <v/>
      </c>
      <c r="H7" s="23" t="str">
        <f aca="false">IFERROR(E7/E6-1,"")</f>
        <v/>
      </c>
      <c r="I7" s="23" t="str">
        <f aca="false">IFERROR(F7/F6-1,"")</f>
        <v/>
      </c>
      <c r="J7" s="20" t="str">
        <f aca="false">IF(A7="","",SUMIFS('Daily Data'!$E$2:$E$2000,'Daily Data'!$N$2:$N$2000,A7,'Daily Data'!$B$2:$B$2000,"Meta"))</f>
        <v/>
      </c>
      <c r="K7" s="21" t="str">
        <f aca="false">IF(A7="","",SUMIFS('Daily Data'!$H$2:$H$2000,'Daily Data'!$N$2:$N$2000,A7,'Daily Data'!$B$2:$B$2000,"Meta"))</f>
        <v/>
      </c>
      <c r="L7" s="20" t="str">
        <f aca="false">IFERROR(J7/K7,"")</f>
        <v/>
      </c>
      <c r="M7" s="20" t="str">
        <f aca="false">IF(A7="","",SUMIFS('Daily Data'!$E$2:$E$2000,'Daily Data'!$N$2:$N$2000,A7,'Daily Data'!$B$2:$B$2000,"Google"))</f>
        <v/>
      </c>
      <c r="N7" s="20" t="str">
        <f aca="false">IF(A7="","",SUMIFS('Daily Data'!$I$2:$I$2000,'Daily Data'!$N$2:$N$2000,A7,'Daily Data'!$B$2:$B$2000,"Google"))</f>
        <v/>
      </c>
      <c r="O7" s="22" t="str">
        <f aca="false">IFERROR(N7/M7,"")</f>
        <v/>
      </c>
    </row>
    <row r="8" customFormat="false" ht="15" hidden="false" customHeight="false" outlineLevel="0" collapsed="false">
      <c r="A8" s="19" t="str">
        <f aca="false">IF(MIN('Daily Data'!$A$2:$A$2000)=0,"",IF((MIN('Daily Data'!$A$2:$A$2000)-WEEKDAY(MIN('Daily Data'!$A$2:$A$2000),3)+7*6)&gt;MAX('Daily Data'!$A$2:$A$2000),"",(MIN('Daily Data'!$A$2:$A$2000)-WEEKDAY(MIN('Daily Data'!$A$2:$A$2000),3)+7*6)))</f>
        <v/>
      </c>
      <c r="B8" s="20" t="str">
        <f aca="false">IF(A8="","",SUMIFS('Daily Data'!$E$2:$E$2000,'Daily Data'!$N$2:$N$2000,A8))</f>
        <v/>
      </c>
      <c r="C8" s="21" t="str">
        <f aca="false">IF(A8="","",SUMIFS('Daily Data'!$H$2:$H$2000,'Daily Data'!$N$2:$N$2000,A8))</f>
        <v/>
      </c>
      <c r="D8" s="20" t="str">
        <f aca="false">IF(A8="","",SUMIFS('Daily Data'!$I$2:$I$2000,'Daily Data'!$N$2:$N$2000,A8))</f>
        <v/>
      </c>
      <c r="E8" s="20" t="str">
        <f aca="false">IFERROR(B8/C8,"")</f>
        <v/>
      </c>
      <c r="F8" s="22" t="str">
        <f aca="false">IFERROR(D8/B8,"")</f>
        <v/>
      </c>
      <c r="G8" s="23" t="str">
        <f aca="false">IF(A8="","",IFERROR(B8/B7-1,""))</f>
        <v/>
      </c>
      <c r="H8" s="23" t="str">
        <f aca="false">IFERROR(E8/E7-1,"")</f>
        <v/>
      </c>
      <c r="I8" s="23" t="str">
        <f aca="false">IFERROR(F8/F7-1,"")</f>
        <v/>
      </c>
      <c r="J8" s="20" t="str">
        <f aca="false">IF(A8="","",SUMIFS('Daily Data'!$E$2:$E$2000,'Daily Data'!$N$2:$N$2000,A8,'Daily Data'!$B$2:$B$2000,"Meta"))</f>
        <v/>
      </c>
      <c r="K8" s="21" t="str">
        <f aca="false">IF(A8="","",SUMIFS('Daily Data'!$H$2:$H$2000,'Daily Data'!$N$2:$N$2000,A8,'Daily Data'!$B$2:$B$2000,"Meta"))</f>
        <v/>
      </c>
      <c r="L8" s="20" t="str">
        <f aca="false">IFERROR(J8/K8,"")</f>
        <v/>
      </c>
      <c r="M8" s="20" t="str">
        <f aca="false">IF(A8="","",SUMIFS('Daily Data'!$E$2:$E$2000,'Daily Data'!$N$2:$N$2000,A8,'Daily Data'!$B$2:$B$2000,"Google"))</f>
        <v/>
      </c>
      <c r="N8" s="20" t="str">
        <f aca="false">IF(A8="","",SUMIFS('Daily Data'!$I$2:$I$2000,'Daily Data'!$N$2:$N$2000,A8,'Daily Data'!$B$2:$B$2000,"Google"))</f>
        <v/>
      </c>
      <c r="O8" s="22" t="str">
        <f aca="false">IFERROR(N8/M8,"")</f>
        <v/>
      </c>
    </row>
    <row r="9" customFormat="false" ht="15" hidden="false" customHeight="false" outlineLevel="0" collapsed="false">
      <c r="A9" s="19" t="str">
        <f aca="false">IF(MIN('Daily Data'!$A$2:$A$2000)=0,"",IF((MIN('Daily Data'!$A$2:$A$2000)-WEEKDAY(MIN('Daily Data'!$A$2:$A$2000),3)+7*7)&gt;MAX('Daily Data'!$A$2:$A$2000),"",(MIN('Daily Data'!$A$2:$A$2000)-WEEKDAY(MIN('Daily Data'!$A$2:$A$2000),3)+7*7)))</f>
        <v/>
      </c>
      <c r="B9" s="20" t="str">
        <f aca="false">IF(A9="","",SUMIFS('Daily Data'!$E$2:$E$2000,'Daily Data'!$N$2:$N$2000,A9))</f>
        <v/>
      </c>
      <c r="C9" s="21" t="str">
        <f aca="false">IF(A9="","",SUMIFS('Daily Data'!$H$2:$H$2000,'Daily Data'!$N$2:$N$2000,A9))</f>
        <v/>
      </c>
      <c r="D9" s="20" t="str">
        <f aca="false">IF(A9="","",SUMIFS('Daily Data'!$I$2:$I$2000,'Daily Data'!$N$2:$N$2000,A9))</f>
        <v/>
      </c>
      <c r="E9" s="20" t="str">
        <f aca="false">IFERROR(B9/C9,"")</f>
        <v/>
      </c>
      <c r="F9" s="22" t="str">
        <f aca="false">IFERROR(D9/B9,"")</f>
        <v/>
      </c>
      <c r="G9" s="23" t="str">
        <f aca="false">IF(A9="","",IFERROR(B9/B8-1,""))</f>
        <v/>
      </c>
      <c r="H9" s="23" t="str">
        <f aca="false">IFERROR(E9/E8-1,"")</f>
        <v/>
      </c>
      <c r="I9" s="23" t="str">
        <f aca="false">IFERROR(F9/F8-1,"")</f>
        <v/>
      </c>
      <c r="J9" s="20" t="str">
        <f aca="false">IF(A9="","",SUMIFS('Daily Data'!$E$2:$E$2000,'Daily Data'!$N$2:$N$2000,A9,'Daily Data'!$B$2:$B$2000,"Meta"))</f>
        <v/>
      </c>
      <c r="K9" s="21" t="str">
        <f aca="false">IF(A9="","",SUMIFS('Daily Data'!$H$2:$H$2000,'Daily Data'!$N$2:$N$2000,A9,'Daily Data'!$B$2:$B$2000,"Meta"))</f>
        <v/>
      </c>
      <c r="L9" s="20" t="str">
        <f aca="false">IFERROR(J9/K9,"")</f>
        <v/>
      </c>
      <c r="M9" s="20" t="str">
        <f aca="false">IF(A9="","",SUMIFS('Daily Data'!$E$2:$E$2000,'Daily Data'!$N$2:$N$2000,A9,'Daily Data'!$B$2:$B$2000,"Google"))</f>
        <v/>
      </c>
      <c r="N9" s="20" t="str">
        <f aca="false">IF(A9="","",SUMIFS('Daily Data'!$I$2:$I$2000,'Daily Data'!$N$2:$N$2000,A9,'Daily Data'!$B$2:$B$2000,"Google"))</f>
        <v/>
      </c>
      <c r="O9" s="22" t="str">
        <f aca="false">IFERROR(N9/M9,"")</f>
        <v/>
      </c>
    </row>
    <row r="10" customFormat="false" ht="15" hidden="false" customHeight="false" outlineLevel="0" collapsed="false">
      <c r="A10" s="19" t="str">
        <f aca="false">IF(MIN('Daily Data'!$A$2:$A$2000)=0,"",IF((MIN('Daily Data'!$A$2:$A$2000)-WEEKDAY(MIN('Daily Data'!$A$2:$A$2000),3)+7*8)&gt;MAX('Daily Data'!$A$2:$A$2000),"",(MIN('Daily Data'!$A$2:$A$2000)-WEEKDAY(MIN('Daily Data'!$A$2:$A$2000),3)+7*8)))</f>
        <v/>
      </c>
      <c r="B10" s="20" t="str">
        <f aca="false">IF(A10="","",SUMIFS('Daily Data'!$E$2:$E$2000,'Daily Data'!$N$2:$N$2000,A10))</f>
        <v/>
      </c>
      <c r="C10" s="21" t="str">
        <f aca="false">IF(A10="","",SUMIFS('Daily Data'!$H$2:$H$2000,'Daily Data'!$N$2:$N$2000,A10))</f>
        <v/>
      </c>
      <c r="D10" s="20" t="str">
        <f aca="false">IF(A10="","",SUMIFS('Daily Data'!$I$2:$I$2000,'Daily Data'!$N$2:$N$2000,A10))</f>
        <v/>
      </c>
      <c r="E10" s="20" t="str">
        <f aca="false">IFERROR(B10/C10,"")</f>
        <v/>
      </c>
      <c r="F10" s="22" t="str">
        <f aca="false">IFERROR(D10/B10,"")</f>
        <v/>
      </c>
      <c r="G10" s="23" t="str">
        <f aca="false">IF(A10="","",IFERROR(B10/B9-1,""))</f>
        <v/>
      </c>
      <c r="H10" s="23" t="str">
        <f aca="false">IFERROR(E10/E9-1,"")</f>
        <v/>
      </c>
      <c r="I10" s="23" t="str">
        <f aca="false">IFERROR(F10/F9-1,"")</f>
        <v/>
      </c>
      <c r="J10" s="20" t="str">
        <f aca="false">IF(A10="","",SUMIFS('Daily Data'!$E$2:$E$2000,'Daily Data'!$N$2:$N$2000,A10,'Daily Data'!$B$2:$B$2000,"Meta"))</f>
        <v/>
      </c>
      <c r="K10" s="21" t="str">
        <f aca="false">IF(A10="","",SUMIFS('Daily Data'!$H$2:$H$2000,'Daily Data'!$N$2:$N$2000,A10,'Daily Data'!$B$2:$B$2000,"Meta"))</f>
        <v/>
      </c>
      <c r="L10" s="20" t="str">
        <f aca="false">IFERROR(J10/K10,"")</f>
        <v/>
      </c>
      <c r="M10" s="20" t="str">
        <f aca="false">IF(A10="","",SUMIFS('Daily Data'!$E$2:$E$2000,'Daily Data'!$N$2:$N$2000,A10,'Daily Data'!$B$2:$B$2000,"Google"))</f>
        <v/>
      </c>
      <c r="N10" s="20" t="str">
        <f aca="false">IF(A10="","",SUMIFS('Daily Data'!$I$2:$I$2000,'Daily Data'!$N$2:$N$2000,A10,'Daily Data'!$B$2:$B$2000,"Google"))</f>
        <v/>
      </c>
      <c r="O10" s="22" t="str">
        <f aca="false">IFERROR(N10/M10,"")</f>
        <v/>
      </c>
    </row>
    <row r="11" customFormat="false" ht="15" hidden="false" customHeight="false" outlineLevel="0" collapsed="false">
      <c r="A11" s="19" t="str">
        <f aca="false">IF(MIN('Daily Data'!$A$2:$A$2000)=0,"",IF((MIN('Daily Data'!$A$2:$A$2000)-WEEKDAY(MIN('Daily Data'!$A$2:$A$2000),3)+7*9)&gt;MAX('Daily Data'!$A$2:$A$2000),"",(MIN('Daily Data'!$A$2:$A$2000)-WEEKDAY(MIN('Daily Data'!$A$2:$A$2000),3)+7*9)))</f>
        <v/>
      </c>
      <c r="B11" s="20" t="str">
        <f aca="false">IF(A11="","",SUMIFS('Daily Data'!$E$2:$E$2000,'Daily Data'!$N$2:$N$2000,A11))</f>
        <v/>
      </c>
      <c r="C11" s="21" t="str">
        <f aca="false">IF(A11="","",SUMIFS('Daily Data'!$H$2:$H$2000,'Daily Data'!$N$2:$N$2000,A11))</f>
        <v/>
      </c>
      <c r="D11" s="20" t="str">
        <f aca="false">IF(A11="","",SUMIFS('Daily Data'!$I$2:$I$2000,'Daily Data'!$N$2:$N$2000,A11))</f>
        <v/>
      </c>
      <c r="E11" s="20" t="str">
        <f aca="false">IFERROR(B11/C11,"")</f>
        <v/>
      </c>
      <c r="F11" s="22" t="str">
        <f aca="false">IFERROR(D11/B11,"")</f>
        <v/>
      </c>
      <c r="G11" s="23" t="str">
        <f aca="false">IF(A11="","",IFERROR(B11/B10-1,""))</f>
        <v/>
      </c>
      <c r="H11" s="23" t="str">
        <f aca="false">IFERROR(E11/E10-1,"")</f>
        <v/>
      </c>
      <c r="I11" s="23" t="str">
        <f aca="false">IFERROR(F11/F10-1,"")</f>
        <v/>
      </c>
      <c r="J11" s="20" t="str">
        <f aca="false">IF(A11="","",SUMIFS('Daily Data'!$E$2:$E$2000,'Daily Data'!$N$2:$N$2000,A11,'Daily Data'!$B$2:$B$2000,"Meta"))</f>
        <v/>
      </c>
      <c r="K11" s="21" t="str">
        <f aca="false">IF(A11="","",SUMIFS('Daily Data'!$H$2:$H$2000,'Daily Data'!$N$2:$N$2000,A11,'Daily Data'!$B$2:$B$2000,"Meta"))</f>
        <v/>
      </c>
      <c r="L11" s="20" t="str">
        <f aca="false">IFERROR(J11/K11,"")</f>
        <v/>
      </c>
      <c r="M11" s="20" t="str">
        <f aca="false">IF(A11="","",SUMIFS('Daily Data'!$E$2:$E$2000,'Daily Data'!$N$2:$N$2000,A11,'Daily Data'!$B$2:$B$2000,"Google"))</f>
        <v/>
      </c>
      <c r="N11" s="20" t="str">
        <f aca="false">IF(A11="","",SUMIFS('Daily Data'!$I$2:$I$2000,'Daily Data'!$N$2:$N$2000,A11,'Daily Data'!$B$2:$B$2000,"Google"))</f>
        <v/>
      </c>
      <c r="O11" s="22" t="str">
        <f aca="false">IFERROR(N11/M11,"")</f>
        <v/>
      </c>
    </row>
    <row r="12" customFormat="false" ht="15" hidden="false" customHeight="false" outlineLevel="0" collapsed="false">
      <c r="A12" s="19" t="str">
        <f aca="false">IF(MIN('Daily Data'!$A$2:$A$2000)=0,"",IF((MIN('Daily Data'!$A$2:$A$2000)-WEEKDAY(MIN('Daily Data'!$A$2:$A$2000),3)+7*10)&gt;MAX('Daily Data'!$A$2:$A$2000),"",(MIN('Daily Data'!$A$2:$A$2000)-WEEKDAY(MIN('Daily Data'!$A$2:$A$2000),3)+7*10)))</f>
        <v/>
      </c>
      <c r="B12" s="20" t="str">
        <f aca="false">IF(A12="","",SUMIFS('Daily Data'!$E$2:$E$2000,'Daily Data'!$N$2:$N$2000,A12))</f>
        <v/>
      </c>
      <c r="C12" s="21" t="str">
        <f aca="false">IF(A12="","",SUMIFS('Daily Data'!$H$2:$H$2000,'Daily Data'!$N$2:$N$2000,A12))</f>
        <v/>
      </c>
      <c r="D12" s="20" t="str">
        <f aca="false">IF(A12="","",SUMIFS('Daily Data'!$I$2:$I$2000,'Daily Data'!$N$2:$N$2000,A12))</f>
        <v/>
      </c>
      <c r="E12" s="20" t="str">
        <f aca="false">IFERROR(B12/C12,"")</f>
        <v/>
      </c>
      <c r="F12" s="22" t="str">
        <f aca="false">IFERROR(D12/B12,"")</f>
        <v/>
      </c>
      <c r="G12" s="23" t="str">
        <f aca="false">IF(A12="","",IFERROR(B12/B11-1,""))</f>
        <v/>
      </c>
      <c r="H12" s="23" t="str">
        <f aca="false">IFERROR(E12/E11-1,"")</f>
        <v/>
      </c>
      <c r="I12" s="23" t="str">
        <f aca="false">IFERROR(F12/F11-1,"")</f>
        <v/>
      </c>
      <c r="J12" s="20" t="str">
        <f aca="false">IF(A12="","",SUMIFS('Daily Data'!$E$2:$E$2000,'Daily Data'!$N$2:$N$2000,A12,'Daily Data'!$B$2:$B$2000,"Meta"))</f>
        <v/>
      </c>
      <c r="K12" s="21" t="str">
        <f aca="false">IF(A12="","",SUMIFS('Daily Data'!$H$2:$H$2000,'Daily Data'!$N$2:$N$2000,A12,'Daily Data'!$B$2:$B$2000,"Meta"))</f>
        <v/>
      </c>
      <c r="L12" s="20" t="str">
        <f aca="false">IFERROR(J12/K12,"")</f>
        <v/>
      </c>
      <c r="M12" s="20" t="str">
        <f aca="false">IF(A12="","",SUMIFS('Daily Data'!$E$2:$E$2000,'Daily Data'!$N$2:$N$2000,A12,'Daily Data'!$B$2:$B$2000,"Google"))</f>
        <v/>
      </c>
      <c r="N12" s="20" t="str">
        <f aca="false">IF(A12="","",SUMIFS('Daily Data'!$I$2:$I$2000,'Daily Data'!$N$2:$N$2000,A12,'Daily Data'!$B$2:$B$2000,"Google"))</f>
        <v/>
      </c>
      <c r="O12" s="22" t="str">
        <f aca="false">IFERROR(N12/M12,"")</f>
        <v/>
      </c>
    </row>
    <row r="13" customFormat="false" ht="15" hidden="false" customHeight="false" outlineLevel="0" collapsed="false">
      <c r="A13" s="19" t="str">
        <f aca="false">IF(MIN('Daily Data'!$A$2:$A$2000)=0,"",IF((MIN('Daily Data'!$A$2:$A$2000)-WEEKDAY(MIN('Daily Data'!$A$2:$A$2000),3)+7*11)&gt;MAX('Daily Data'!$A$2:$A$2000),"",(MIN('Daily Data'!$A$2:$A$2000)-WEEKDAY(MIN('Daily Data'!$A$2:$A$2000),3)+7*11)))</f>
        <v/>
      </c>
      <c r="B13" s="20" t="str">
        <f aca="false">IF(A13="","",SUMIFS('Daily Data'!$E$2:$E$2000,'Daily Data'!$N$2:$N$2000,A13))</f>
        <v/>
      </c>
      <c r="C13" s="21" t="str">
        <f aca="false">IF(A13="","",SUMIFS('Daily Data'!$H$2:$H$2000,'Daily Data'!$N$2:$N$2000,A13))</f>
        <v/>
      </c>
      <c r="D13" s="20" t="str">
        <f aca="false">IF(A13="","",SUMIFS('Daily Data'!$I$2:$I$2000,'Daily Data'!$N$2:$N$2000,A13))</f>
        <v/>
      </c>
      <c r="E13" s="20" t="str">
        <f aca="false">IFERROR(B13/C13,"")</f>
        <v/>
      </c>
      <c r="F13" s="22" t="str">
        <f aca="false">IFERROR(D13/B13,"")</f>
        <v/>
      </c>
      <c r="G13" s="23" t="str">
        <f aca="false">IF(A13="","",IFERROR(B13/B12-1,""))</f>
        <v/>
      </c>
      <c r="H13" s="23" t="str">
        <f aca="false">IFERROR(E13/E12-1,"")</f>
        <v/>
      </c>
      <c r="I13" s="23" t="str">
        <f aca="false">IFERROR(F13/F12-1,"")</f>
        <v/>
      </c>
      <c r="J13" s="20" t="str">
        <f aca="false">IF(A13="","",SUMIFS('Daily Data'!$E$2:$E$2000,'Daily Data'!$N$2:$N$2000,A13,'Daily Data'!$B$2:$B$2000,"Meta"))</f>
        <v/>
      </c>
      <c r="K13" s="21" t="str">
        <f aca="false">IF(A13="","",SUMIFS('Daily Data'!$H$2:$H$2000,'Daily Data'!$N$2:$N$2000,A13,'Daily Data'!$B$2:$B$2000,"Meta"))</f>
        <v/>
      </c>
      <c r="L13" s="20" t="str">
        <f aca="false">IFERROR(J13/K13,"")</f>
        <v/>
      </c>
      <c r="M13" s="20" t="str">
        <f aca="false">IF(A13="","",SUMIFS('Daily Data'!$E$2:$E$2000,'Daily Data'!$N$2:$N$2000,A13,'Daily Data'!$B$2:$B$2000,"Google"))</f>
        <v/>
      </c>
      <c r="N13" s="20" t="str">
        <f aca="false">IF(A13="","",SUMIFS('Daily Data'!$I$2:$I$2000,'Daily Data'!$N$2:$N$2000,A13,'Daily Data'!$B$2:$B$2000,"Google"))</f>
        <v/>
      </c>
      <c r="O13" s="22" t="str">
        <f aca="false">IFERROR(N13/M13,"")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customFormat="false" ht="15" hidden="false" customHeight="false" outlineLevel="0" collapsed="false">
      <c r="A15" s="16" t="s">
        <v>66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2026-09-23T08:16:17Z</dcterms:created>
  <dc:creator>openpyxl</dc:creator>
  <dc:description/>
  <dc:language>en-US</dc:language>
  <cp:lastModifiedBy/>
  <dcterms:modified xsi:type="dcterms:W3CDTF">2026-09-23T08:16:17Z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